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54f69e707048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ng quan" sheetId="1" r:id="R386ece09da2a40fe"/>
    <x:sheet xmlns:r="http://schemas.openxmlformats.org/officeDocument/2006/relationships" name="Chan doan" sheetId="2" r:id="R733d177f782049ee"/>
    <x:sheet xmlns:r="http://schemas.openxmlformats.org/officeDocument/2006/relationships" name="Workflow" sheetId="3" r:id="R0ed0bf934a1a4bc1"/>
    <x:sheet xmlns:r="http://schemas.openxmlformats.org/officeDocument/2006/relationships" name="Roadmap 30-60-90" sheetId="4" r:id="R8e2f23930020445c"/>
    <x:sheet xmlns:r="http://schemas.openxmlformats.org/officeDocument/2006/relationships" name="Metrics" sheetId="5" r:id="Rc4cd15bcef874d8e"/>
    <x:sheet xmlns:r="http://schemas.openxmlformats.org/officeDocument/2006/relationships" name="Phan bien" sheetId="6" r:id="R281a50c8894a42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9">
    <x:font>
      <x:sz val="11"/>
      <x:name val="Carlito"/>
    </x:font>
    <x:font>
      <x:b/>
      <x:sz val="18"/>
      <x:color rgb="FFFFFFFF"/>
      <x:name val="Carlito"/>
    </x:font>
    <x:font>
      <x:i/>
      <x:sz val="10"/>
      <x:color rgb="FF24313D"/>
      <x:name val="Carlito"/>
    </x:font>
    <x:font>
      <x:b/>
      <x:sz val="11"/>
      <x:color rgb="FFFFFFFF"/>
      <x:name val="Carlito"/>
    </x:font>
    <x:font>
      <x:b/>
      <x:sz val="11"/>
      <x:color rgb="FF173653"/>
      <x:name val="Carlito"/>
    </x:font>
    <x:font>
      <x:b/>
      <x:sz val="10"/>
      <x:color rgb="FF173653"/>
      <x:name val="Carlito"/>
    </x:font>
    <x:font>
      <x:sz val="10"/>
      <x:name val="Carlito"/>
    </x:font>
    <x:font>
      <x:b/>
      <x:sz val="11"/>
      <x:color rgb="FF24313D"/>
      <x:name val="Carlito"/>
    </x:font>
    <x:font>
      <x:b/>
      <x:sz val="12"/>
      <x:color rgb="FF173653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3"/>
      </x:patternFill>
    </x:fill>
    <x:fill>
      <x:patternFill patternType="solid">
        <x:fgColor rgb="FFDCEAF7"/>
      </x:patternFill>
    </x:fill>
    <x:fill>
      <x:patternFill patternType="solid">
        <x:fgColor rgb="FF0F7B70"/>
      </x:patternFill>
    </x:fill>
    <x:fill>
      <x:patternFill patternType="solid">
        <x:fgColor rgb="FFF5F7FA"/>
      </x:patternFill>
    </x:fill>
    <x:fill>
      <x:patternFill patternType="solid">
        <x:fgColor rgb="FFFFF4CE"/>
      </x:patternFill>
    </x:fill>
    <x:fill>
      <x:patternFill patternType="solid">
        <x:fgColor rgb="FFDDF4EE"/>
      </x:patternFill>
    </x:fill>
    <x:fill>
      <x:patternFill patternType="solid">
        <x:fgColor rgb="FF2E7D5B"/>
      </x:patternFill>
    </x:fill>
  </x:fills>
  <x:borders count="12">
    <x:border/>
    <x:border>
      <x:bottom style="thin">
        <x:color rgb="FFD8E1E8"/>
      </x:bottom>
    </x:border>
    <x:border>
      <x:top style="thin">
        <x:color rgb="FFD8E1E8"/>
      </x:top>
      <x:bottom style="thin">
        <x:color rgb="FFD8E1E8"/>
      </x:bottom>
    </x:border>
    <x:border>
      <x:left style="medium">
        <x:color rgb="FFF4B942"/>
      </x:left>
      <x:top style="medium">
        <x:color rgb="FFF4B942"/>
      </x:top>
      <x:bottom style="medium">
        <x:color rgb="FFF4B942"/>
      </x:bottom>
    </x:border>
    <x:border>
      <x:top style="medium">
        <x:color rgb="FFF4B942"/>
      </x:top>
      <x:bottom style="medium">
        <x:color rgb="FFF4B942"/>
      </x:bottom>
    </x:border>
    <x:border>
      <x:right style="medium">
        <x:color rgb="FFF4B942"/>
      </x:right>
      <x:top style="medium">
        <x:color rgb="FFF4B942"/>
      </x:top>
      <x:bottom style="medium">
        <x:color rgb="FFF4B942"/>
      </x:bottom>
    </x:border>
    <x:border>
      <x:left style="thin">
        <x:color rgb="FF0F7B70"/>
      </x:left>
      <x:top style="thin">
        <x:color rgb="FF0F7B70"/>
      </x:top>
      <x:bottom style="thin">
        <x:color rgb="FF0F7B70"/>
      </x:bottom>
    </x:border>
    <x:border>
      <x:top style="thin">
        <x:color rgb="FF0F7B70"/>
      </x:top>
      <x:bottom style="thin">
        <x:color rgb="FF0F7B70"/>
      </x:bottom>
    </x:border>
    <x:border>
      <x:right style="thin">
        <x:color rgb="FF0F7B70"/>
      </x:right>
      <x:top style="thin">
        <x:color rgb="FF0F7B70"/>
      </x:top>
      <x:bottom style="thin">
        <x:color rgb="FF0F7B70"/>
      </x:bottom>
    </x:border>
    <x:border>
      <x:right style="thin">
        <x:color rgb="FFD8E1E8"/>
      </x:right>
    </x:border>
    <x:border>
      <x:left style="thin">
        <x:color rgb="FFD8E1E8"/>
      </x:left>
      <x:right style="thin">
        <x:color rgb="FFD8E1E8"/>
      </x:right>
    </x:border>
    <x:border>
      <x:left style="thin">
        <x:color rgb="FFD8E1E8"/>
      </x:left>
    </x:border>
  </x:borders>
  <x:cellStyleXfs count="1">
    <x:xf numFmtId="0" fontId="0" fillId="0" borderId="0"/>
  </x:cellStyleXfs>
  <x:cellXfs count="7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/>
    <x:xf numFmtId="0" fontId="5" fillId="5" borderId="2" xfId="0" applyNumberFormat="1" applyFont="1" applyFill="1" applyBorder="1" applyAlignment="1">
      <x:alignment wrapText="1"/>
    </x:xf>
    <x:xf numFmtId="0" fontId="6" fillId="0" borderId="2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0" fontId="6" fillId="0" borderId="2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 applyAlignment="1">
      <x:alignment vertical="top" wrapText="1"/>
    </x:xf>
    <x:xf numFmtId="0" fontId="5" fillId="5" borderId="2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3" xfId="0" applyNumberFormat="1" applyFont="1" applyFill="1" applyBorder="1"/>
    <x:xf numFmtId="0" fontId="7" fillId="6" borderId="4" xfId="0" applyNumberFormat="1" applyFont="1" applyFill="1" applyBorder="1"/>
    <x:xf numFmtId="0" fontId="7" fillId="6" borderId="5" xfId="0" applyNumberFormat="1" applyFont="1" applyFill="1" applyBorder="1"/>
    <x:xf numFmtId="0" fontId="7" fillId="6" borderId="3" xfId="0" applyNumberFormat="1" applyFont="1" applyFill="1" applyBorder="1" applyAlignment="1">
      <x:alignment wrapText="1"/>
    </x:xf>
    <x:xf numFmtId="0" fontId="7" fillId="6" borderId="4" xfId="0" applyNumberFormat="1" applyFont="1" applyFill="1" applyBorder="1" applyAlignment="1">
      <x:alignment wrapText="1"/>
    </x:xf>
    <x:xf numFmtId="0" fontId="7" fillId="6" borderId="5" xfId="0" applyNumberFormat="1" applyFont="1" applyFill="1" applyBorder="1" applyAlignment="1">
      <x:alignment wrapText="1"/>
    </x:xf>
    <x:xf numFmtId="0" fontId="7" fillId="6" borderId="3" xfId="0" applyNumberFormat="1" applyFont="1" applyFill="1" applyBorder="1" applyAlignment="1">
      <x:alignment vertical="center" wrapText="1"/>
    </x:xf>
    <x:xf numFmtId="0" fontId="7" fillId="6" borderId="4" xfId="0" applyNumberFormat="1" applyFont="1" applyFill="1" applyBorder="1" applyAlignment="1">
      <x:alignment vertical="center" wrapText="1"/>
    </x:xf>
    <x:xf numFmtId="0" fontId="7" fillId="6" borderId="5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6" xfId="0" applyNumberFormat="1" applyFont="1" applyFill="1" applyBorder="1"/>
    <x:xf numFmtId="0" fontId="8" fillId="7" borderId="7" xfId="0" applyNumberFormat="1" applyFont="1" applyFill="1" applyBorder="1"/>
    <x:xf numFmtId="0" fontId="8" fillId="7" borderId="8" xfId="0" applyNumberFormat="1" applyFont="1" applyFill="1" applyBorder="1"/>
    <x:xf numFmtId="0" fontId="8" fillId="7" borderId="6" xfId="0" applyNumberFormat="1" applyFont="1" applyFill="1" applyBorder="1" applyAlignment="1">
      <x:alignment horizontal="center"/>
    </x:xf>
    <x:xf numFmtId="0" fontId="8" fillId="7" borderId="7" xfId="0" applyNumberFormat="1" applyFont="1" applyFill="1" applyBorder="1" applyAlignment="1">
      <x:alignment horizontal="center"/>
    </x:xf>
    <x:xf numFmtId="0" fontId="8" fillId="7" borderId="8" xfId="0" applyNumberFormat="1" applyFont="1" applyFill="1" applyBorder="1" applyAlignment="1">
      <x:alignment horizontal="center"/>
    </x:xf>
    <x:xf numFmtId="0" fontId="8" fillId="7" borderId="6" xfId="0" applyNumberFormat="1" applyFont="1" applyFill="1" applyBorder="1" applyAlignment="1">
      <x:alignment horizontal="center" vertical="center"/>
    </x:xf>
    <x:xf numFmtId="0" fontId="8" fillId="7" borderId="7" xfId="0" applyNumberFormat="1" applyFont="1" applyFill="1" applyBorder="1" applyAlignment="1">
      <x:alignment horizontal="center" vertical="center"/>
    </x:xf>
    <x:xf numFmtId="0" fontId="8" fillId="7" borderId="8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/>
    <x:xf numFmtId="0" fontId="3" fillId="2" borderId="9" xfId="0" applyNumberFormat="1" applyFont="1" applyFill="1" applyBorder="1"/>
    <x:xf numFmtId="0" fontId="3" fillId="2" borderId="10" xfId="0" applyNumberFormat="1" applyFont="1" applyFill="1" applyBorder="1"/>
    <x:xf numFmtId="0" fontId="3" fillId="2" borderId="11" xfId="0" applyNumberFormat="1" applyFont="1" applyFill="1" applyBorder="1"/>
    <x:xf numFmtId="0" fontId="3" fillId="2" borderId="9" xfId="0" applyNumberFormat="1" applyFont="1" applyFill="1" applyBorder="1" applyAlignment="1">
      <x:alignment wrapText="1"/>
    </x:xf>
    <x:xf numFmtId="0" fontId="3" fillId="2" borderId="10" xfId="0" applyNumberFormat="1" applyFont="1" applyFill="1" applyBorder="1" applyAlignment="1">
      <x:alignment wrapText="1"/>
    </x:xf>
    <x:xf numFmtId="0" fontId="3" fillId="2" borderId="11" xfId="0" applyNumberFormat="1" applyFont="1" applyFill="1" applyBorder="1" applyAlignment="1">
      <x:alignment wrapText="1"/>
    </x:xf>
    <x:xf numFmtId="0" fontId="3" fillId="2" borderId="9" xfId="0" applyNumberFormat="1" applyFont="1" applyFill="1" applyBorder="1" applyAlignment="1">
      <x:alignment vertical="center" wrapText="1"/>
    </x:xf>
    <x:xf numFmtId="0" fontId="3" fillId="2" borderId="10" xfId="0" applyNumberFormat="1" applyFont="1" applyFill="1" applyBorder="1" applyAlignment="1">
      <x:alignment vertical="center" wrapText="1"/>
    </x:xf>
    <x:xf numFmtId="0" fontId="3" fillId="2" borderId="11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vertical="center"/>
    </x:xf>
    <x:xf numFmtId="0" fontId="6" fillId="6" borderId="1" xfId="0" applyNumberFormat="1" applyFont="1" applyFill="1" applyBorder="1" applyAlignment="1">
      <x:alignment vertical="top" wrapText="1"/>
    </x:xf>
    <x:xf numFmtId="0" fontId="6" fillId="6" borderId="2" xfId="0" applyNumberFormat="1" applyFont="1" applyFill="1" applyBorder="1" applyAlignment="1">
      <x:alignment vertical="top" wrapText="1"/>
    </x:xf>
    <x:xf numFmtId="200" fontId="6" fillId="0" borderId="1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wrapText="1"/>
    </x:xf>
    <x:xf numFmtId="0" fontId="5" fillId="6" borderId="2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vertical="top" wrapText="1"/>
    </x:xf>
    <x:xf numFmtId="0" fontId="5" fillId="6" borderId="2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2E7D5B"/>
      </x:font>
      <x:fill>
        <x:patternFill patternType="solid">
          <x:bgColor rgb="FFE4F3EA"/>
        </x:patternFill>
      </x:fill>
    </x:dxf>
    <x:dxf>
      <x:font>
        <x:b/>
        <x:color rgb="FFC94747"/>
      </x:font>
      <x:fill>
        <x:patternFill patternType="solid">
          <x:bgColor rgb="FFFDE8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769022454940e8" /><Relationship Type="http://schemas.openxmlformats.org/officeDocument/2006/relationships/theme" Target="/xl/theme/theme1.xml" Id="R2a2e16db05394ca5" /><Relationship Type="http://schemas.openxmlformats.org/officeDocument/2006/relationships/sharedStrings" Target="/xl/sharedStrings.xml" Id="Rf52a83a6c39d4fb6" /><Relationship Type="http://schemas.openxmlformats.org/officeDocument/2006/relationships/worksheet" Target="/xl/worksheets/sheet1.xml" Id="R386ece09da2a40fe" /><Relationship Type="http://schemas.openxmlformats.org/officeDocument/2006/relationships/worksheet" Target="/xl/worksheets/sheet2.xml" Id="R733d177f782049ee" /><Relationship Type="http://schemas.openxmlformats.org/officeDocument/2006/relationships/worksheet" Target="/xl/worksheets/sheet3.xml" Id="R0ed0bf934a1a4bc1" /><Relationship Type="http://schemas.openxmlformats.org/officeDocument/2006/relationships/worksheet" Target="/xl/worksheets/sheet4.xml" Id="R8e2f23930020445c" /><Relationship Type="http://schemas.openxmlformats.org/officeDocument/2006/relationships/worksheet" Target="/xl/worksheets/sheet5.xml" Id="Rc4cd15bcef874d8e" /><Relationship Type="http://schemas.openxmlformats.org/officeDocument/2006/relationships/worksheet" Target="/xl/worksheets/sheet6.xml" Id="R281a50c8894a42d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4" hidden="0" customWidth="1"/>
    <x:col min="7" max="7" width="12" hidden="0" customWidth="1"/>
    <x:col min="8" max="8" width="18" hidden="0" customWidth="1"/>
    <x:col min="9" max="9" width="12" hidden="0" customWidth="1"/>
    <x:col min="10" max="10" width="12" hidden="0" customWidth="1"/>
  </x:cols>
  <x:sheetData>
    <x:row r="1" ht="28" customHeight="1">
      <x:c r="A1" s="4" t="str">
        <x:v>DASHBOARD HÀNH ĐỘNG CHO ÁP DỤNG AI — V2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15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3" ht="36" customHeight="1">
      <x:c r="A3" s="8" t="str">
        <x:v>Case thực tế công khai: Klarna AI Assistant trong chăm sóc khách hàng | Dữ liệu SEC/Klarna 2024–2025</x:v>
      </x:c>
      <x:c r="B3" s="8"/>
      <x:c r="C3" s="8"/>
      <x:c r="D3" s="8"/>
      <x:c r="E3" s="8"/>
      <x:c r="F3" s="8"/>
      <x:c r="G3" s="8"/>
      <x:c r="H3" s="8"/>
      <x:c r="I3" s="8"/>
      <x:c r="J3" s="8"/>
    </x:row>
    <x:row r="5">
      <x:c r="A5" s="11" t="str">
        <x:v>01  PHẠM VI ĐÃ KHOÁ</x:v>
      </x:c>
      <x:c r="B5" s="11"/>
      <x:c r="C5" s="11"/>
      <x:c r="D5" s="11"/>
      <x:c r="E5" s="11"/>
      <x:c r="F5" s="11"/>
      <x:c r="G5" s="11"/>
      <x:c r="H5" s="11"/>
      <x:c r="I5" s="11"/>
      <x:c r="J5" s="11"/>
    </x:row>
    <x:row r="6" ht="36" customHeight="1">
      <x:c r="A6" s="23" t="str">
        <x:v>Sản phẩm AI</x:v>
      </x:c>
      <x:c r="B6" s="24" t="str">
        <x:v>Klarna AI Assistant trong ứng dụng Klarna</x:v>
      </x:c>
      <x:c r="C6" s="24"/>
      <x:c r="D6" s="24"/>
      <x:c r="E6" s="24"/>
      <x:c r="F6" s="24"/>
      <x:c r="G6" s="24"/>
      <x:c r="H6" s="24"/>
      <x:c r="I6" s="24"/>
      <x:c r="J6" s="24"/>
    </x:row>
    <x:row r="7" ht="36" customHeight="1">
      <x:c r="A7" s="25" t="str">
        <x:v>Người dùng chính</x:v>
      </x:c>
      <x:c r="B7" s="26" t="str">
        <x:v>Khách hàng Klarna cần hỗ trợ mua sắm, thanh toán, hoàn tiền hoặc đổi trả</x:v>
      </x:c>
      <x:c r="C7" s="26"/>
      <x:c r="D7" s="26"/>
      <x:c r="E7" s="26"/>
      <x:c r="F7" s="26"/>
      <x:c r="G7" s="26"/>
      <x:c r="H7" s="26"/>
      <x:c r="I7" s="26"/>
      <x:c r="J7" s="26"/>
    </x:row>
    <x:row r="8" ht="36" customHeight="1">
      <x:c r="A8" s="25" t="str">
        <x:v>4 workflow</x:v>
      </x:c>
      <x:c r="B8" s="26" t="str">
        <x:v>Tiếp nhận câu hỏi → AI phân loại → AI giải quyết → chuyển người/QA/phản hồi</x:v>
      </x:c>
      <x:c r="C8" s="26"/>
      <x:c r="D8" s="26"/>
      <x:c r="E8" s="26"/>
      <x:c r="F8" s="26"/>
      <x:c r="G8" s="26"/>
      <x:c r="H8" s="26"/>
      <x:c r="I8" s="26"/>
      <x:c r="J8" s="26"/>
    </x:row>
    <x:row r="9" ht="36" customHeight="1">
      <x:c r="A9" s="25" t="str">
        <x:v>Vấn đề đo được</x:v>
      </x:c>
      <x:c r="B9" s="26" t="str">
        <x:v>Usage và năng suất rất cao, nhưng có bằng chứng công khai về chất lượng thấp hơn ở một số dịch vụ AI; cần cân bằng AI với hỗ trợ con người.</x:v>
      </x:c>
      <x:c r="C9" s="26"/>
      <x:c r="D9" s="26"/>
      <x:c r="E9" s="26"/>
      <x:c r="F9" s="26"/>
      <x:c r="G9" s="26"/>
      <x:c r="H9" s="26"/>
      <x:c r="I9" s="26"/>
      <x:c r="J9" s="26"/>
    </x:row>
    <x:row r="11">
      <x:c r="A11" s="11" t="str">
        <x:v>02  QUYẾT ĐỊNH TỰ ĐỘNG TỪ METRIC</x:v>
      </x:c>
      <x:c r="B11" s="11"/>
      <x:c r="C11" s="11"/>
      <x:c r="D11" s="11"/>
      <x:c r="E11" s="11"/>
      <x:c r="F11" s="11"/>
      <x:c r="G11" s="11"/>
      <x:c r="H11" s="11"/>
      <x:c r="I11" s="11"/>
      <x:c r="J11" s="11"/>
    </x:row>
    <x:row r="12" ht="46" customHeight="1">
      <x:c r="A12" s="35" t="str">
        <x:v>QUYẾT ĐỊNH</x:v>
      </x:c>
      <x:c r="B12" s="36"/>
      <x:c r="C12" s="36" t="str">
        <x:f>IF(COUNTIF('Metrics'!$I$6:$I$11,"XẤU")&gt;0,"SỬA","TIẾP TỤC")</x:f>
        <x:v>SỬA</x:v>
      </x:c>
      <x:c r="D12" s="36"/>
      <x:c r="E12" s="36"/>
      <x:c r="F12" s="36" t="str">
        <x:v>Nguyên nhân gốc</x:v>
      </x:c>
      <x:c r="G12" s="36"/>
      <x:c r="H12" s="36" t="str">
        <x:v>Tối ưu quá mạnh theo chi phí/khối lượng + handoff người–AI cho ca phức tạp chưa đủ rõ</x:v>
      </x:c>
      <x:c r="I12" s="36"/>
      <x:c r="J12" s="37"/>
    </x:row>
    <x:row r="14" ht="32" customHeight="1">
      <x:c r="A14" s="46" t="str">
        <x:v>Metric đạt</x:v>
      </x:c>
      <x:c r="B14" s="47"/>
      <x:c r="C14" s="47" t="n">
        <x:f>COUNTIF('Metrics'!$I$6:$I$11,"ĐẠT")</x:f>
        <x:v>5</x:v>
      </x:c>
      <x:c r="D14" s="47"/>
      <x:c r="E14" s="47" t="str">
        <x:v>Metric xấu</x:v>
      </x:c>
      <x:c r="F14" s="47"/>
      <x:c r="G14" s="47" t="n">
        <x:f>COUNTIF('Metrics'!$I$6:$I$11,"XẤU")</x:f>
        <x:v>1</x:v>
      </x:c>
      <x:c r="H14" s="47"/>
      <x:c r="I14" s="47" t="str">
        <x:v>Tổng</x:v>
      </x:c>
      <x:c r="J14" s="48" t="n">
        <x:f>COUNTA('Metrics'!$C$6:$C$11)</x:f>
        <x:v>6</x:v>
      </x:c>
    </x:row>
    <x:row r="16">
      <x:c r="A16" s="11" t="str">
        <x:v>03  QUY TẮC QUYẾT ĐỊNH</x:v>
      </x:c>
      <x:c r="B16" s="11"/>
      <x:c r="C16" s="11"/>
      <x:c r="D16" s="11"/>
      <x:c r="E16" s="11"/>
      <x:c r="F16" s="11"/>
      <x:c r="G16" s="11"/>
      <x:c r="H16" s="11"/>
      <x:c r="I16" s="11"/>
      <x:c r="J16" s="11"/>
    </x:row>
    <x:row r="17" ht="42" customHeight="1">
      <x:c r="A17" s="23" t="str">
        <x:v>TIẾP TỤC</x:v>
      </x:c>
      <x:c r="B17" s="24" t="str">
        <x:v>Metric năng suất, hành vi và chất lượng cùng đạt; ca rủi ro cao luôn có đường chuyển người; không có sự kiện chất lượng nghiêm trọng.</x:v>
      </x:c>
      <x:c r="C17" s="24"/>
      <x:c r="D17" s="24"/>
      <x:c r="E17" s="24"/>
      <x:c r="F17" s="24"/>
      <x:c r="G17" s="24"/>
      <x:c r="H17" s="24"/>
      <x:c r="I17" s="24"/>
      <x:c r="J17" s="24"/>
    </x:row>
    <x:row r="18" ht="42" customHeight="1">
      <x:c r="A18" s="25" t="str">
        <x:v>SỬA</x:v>
      </x:c>
      <x:c r="B18" s="26" t="str">
        <x:v>Có lợi ích rõ nhưng ít nhất một quality/risk metric xấu: giữ AI cho ca thường, tăng human-in-the-loop cho ca phức tạp.</x:v>
      </x:c>
      <x:c r="C18" s="26"/>
      <x:c r="D18" s="26"/>
      <x:c r="E18" s="26"/>
      <x:c r="F18" s="26"/>
      <x:c r="G18" s="26"/>
      <x:c r="H18" s="26"/>
      <x:c r="I18" s="26"/>
      <x:c r="J18" s="26"/>
    </x:row>
    <x:row r="19" ht="42" customHeight="1">
      <x:c r="A19" s="25" t="str">
        <x:v>DỪNG</x:v>
      </x:c>
      <x:c r="B19" s="26" t="str">
        <x:v>Dừng workflow nếu xảy ra lỗi nghiêm trọng về quyền, tài chính hoặc không thể tạo đường chuyển người an toàn sau hai vòng sửa.</x:v>
      </x:c>
      <x:c r="C19" s="26"/>
      <x:c r="D19" s="26"/>
      <x:c r="E19" s="26"/>
      <x:c r="F19" s="26"/>
      <x:c r="G19" s="26"/>
      <x:c r="H19" s="26"/>
      <x:c r="I19" s="26"/>
      <x:c r="J19" s="26"/>
    </x:row>
    <x:row r="20" ht="42" customHeight="1">
      <x:c r="A20" s="25" t="str">
        <x:v>BƯỚC TIẾP THEO</x:v>
      </x:c>
      <x:c r="B20" s="26" t="str">
        <x:v>Chuẩn hoá taxonomy ca phức tạp, SLA chuyển người, QA mẫu và dashboard chất lượng trước khi tiếp tục mở rộng.</x:v>
      </x:c>
      <x:c r="C20" s="26"/>
      <x:c r="D20" s="26"/>
      <x:c r="E20" s="26"/>
      <x:c r="F20" s="26"/>
      <x:c r="G20" s="26"/>
      <x:c r="H20" s="26"/>
      <x:c r="I20" s="26"/>
      <x:c r="J20" s="26"/>
    </x:row>
  </x:sheetData>
  <x:mergeCells>
    <x:mergeCell ref="A1:J2"/>
    <x:mergeCell ref="A3:J3"/>
    <x:mergeCell ref="A5:J5"/>
    <x:mergeCell ref="B6:J6"/>
    <x:mergeCell ref="B7:J7"/>
    <x:mergeCell ref="B8:J8"/>
    <x:mergeCell ref="B9:J9"/>
    <x:mergeCell ref="A11:J11"/>
    <x:mergeCell ref="A12:B12"/>
    <x:mergeCell ref="C12:E12"/>
    <x:mergeCell ref="F12:G12"/>
    <x:mergeCell ref="H12:J12"/>
    <x:mergeCell ref="A14:B14"/>
    <x:mergeCell ref="C14:D14"/>
    <x:mergeCell ref="E14:F14"/>
    <x:mergeCell ref="G14:H14"/>
    <x:mergeCell ref="A16:J16"/>
    <x:mergeCell ref="B17:J17"/>
    <x:mergeCell ref="B18:J18"/>
    <x:mergeCell ref="B19:J19"/>
    <x:mergeCell ref="B20:J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5" hidden="0" customWidth="1"/>
    <x:col min="3" max="3" width="28" hidden="0" customWidth="1"/>
    <x:col min="4" max="4" width="30" hidden="0" customWidth="1"/>
    <x:col min="5" max="5" width="22" hidden="0" customWidth="1"/>
    <x:col min="6" max="6" width="30" hidden="0" customWidth="1"/>
    <x:col min="7" max="7" width="42" hidden="0" customWidth="1"/>
    <x:col min="8" max="8" width="16" hidden="0" customWidth="1"/>
  </x:cols>
  <x:sheetData>
    <x:row r="1" ht="28" customHeight="1">
      <x:c r="A1" s="4" t="str">
        <x:v>CHẨN ĐOÁN NGUYÊN NHÂN GỐC</x:v>
      </x:c>
      <x:c r="B1" s="4"/>
      <x:c r="C1" s="4"/>
      <x:c r="D1" s="4"/>
      <x:c r="E1" s="4"/>
      <x:c r="F1" s="4"/>
      <x:c r="G1" s="4"/>
      <x:c r="H1" s="4"/>
    </x:row>
    <x:row r="2" ht="15" customHeight="1">
      <x:c r="A2" s="4"/>
      <x:c r="B2" s="4"/>
      <x:c r="C2" s="4"/>
      <x:c r="D2" s="4"/>
      <x:c r="E2" s="4"/>
      <x:c r="F2" s="4"/>
      <x:c r="G2" s="4"/>
      <x:c r="H2" s="4"/>
    </x:row>
    <x:row r="3" ht="36" customHeight="1">
      <x:c r="A3" s="8" t="str">
        <x:v>Bằng chứng được lấy từ hồ sơ SEC/Klarna; framework dùng để giải thích nguyên nhân, không chỉ dán nhãn.</x:v>
      </x:c>
      <x:c r="B3" s="8"/>
      <x:c r="C3" s="8"/>
      <x:c r="D3" s="8"/>
      <x:c r="E3" s="8"/>
      <x:c r="F3" s="8"/>
      <x:c r="G3" s="8"/>
      <x:c r="H3" s="8"/>
    </x:row>
    <x:row r="5">
      <x:c r="A5" s="11" t="str">
        <x:v>NĂM CÂU HỎI CHẨN ĐOÁN</x:v>
      </x:c>
      <x:c r="B5" s="11"/>
      <x:c r="C5" s="11"/>
      <x:c r="D5" s="11"/>
      <x:c r="E5" s="11"/>
      <x:c r="F5" s="11"/>
      <x:c r="G5" s="11"/>
      <x:c r="H5" s="11"/>
    </x:row>
    <x:row r="6">
      <x:c r="A6" s="56" t="str">
        <x:v>#</x:v>
      </x:c>
      <x:c r="B6" s="57" t="str">
        <x:v>Trục</x:v>
      </x:c>
      <x:c r="C6" s="57" t="str">
        <x:v>Nhận định</x:v>
      </x:c>
      <x:c r="D6" s="57" t="str">
        <x:v>Mức</x:v>
      </x:c>
      <x:c r="E6" s="57" t="str">
        <x:v>Framework</x:v>
      </x:c>
      <x:c r="F6" s="57" t="str">
        <x:v>Bằng chứng thực tế</x:v>
      </x:c>
      <x:c r="G6" s="57" t="str">
        <x:v>Nguồn</x:v>
      </x:c>
      <x:c r="H6" s="58" t="str">
        <x:v>Hàm ý</x:v>
      </x:c>
    </x:row>
    <x:row r="7" ht="78" customHeight="1">
      <x:c r="A7" s="24" t="n">
        <x:v>1</x:v>
      </x:c>
      <x:c r="B7" s="24" t="str">
        <x:v>Workflow</x:v>
      </x:c>
      <x:c r="C7" s="24" t="str">
        <x:v>AI giải quyết phần lớn chat nhưng ca phức tạp cần lựa chọn gặp người thật và SLA chuyển tuyến.</x:v>
      </x:c>
      <x:c r="D7" s="24" t="str">
        <x:v>GỐC</x:v>
      </x:c>
      <x:c r="E7" s="24" t="str">
        <x:v>Mollick</x:v>
      </x:c>
      <x:c r="F7" s="24" t="str">
        <x:v>SEC ghi Klarna tiếp tục cho mọi khách hàng lựa chọn đại diện con người.</x:v>
      </x:c>
      <x:c r="G7" s="24" t="str">
        <x:v>https://www.sec.gov/Archives/edgar/data/2003292/000162828025034998/filename1.htm</x:v>
      </x:c>
      <x:c r="H7" s="24" t="str">
        <x:v>Phân loại ca; AI làm ca thường; người giữ quyền ở ca phức tạp.</x:v>
      </x:c>
    </x:row>
    <x:row r="8" ht="78" customHeight="1">
      <x:c r="A8" s="26" t="n">
        <x:v>2</x:v>
      </x:c>
      <x:c r="B8" s="26" t="str">
        <x:v>Con người</x:v>
      </x:c>
      <x:c r="C8" s="26" t="str">
        <x:v>Niềm tin bị ảnh hưởng khi chất lượng thấp hơn; training người dùng không giải quyết được.</x:v>
      </x:c>
      <x:c r="D8" s="26" t="str">
        <x:v>LIÊN QUAN</x:v>
      </x:c>
      <x:c r="E8" s="26" t="str">
        <x:v>ADKAR — Desire</x:v>
      </x:c>
      <x:c r="F8" s="26" t="str">
        <x:v>SEC staff letter dẫn lời CEO về một số dịch vụ AI có chất lượng thấp hơn.</x:v>
      </x:c>
      <x:c r="G8" s="26" t="str">
        <x:v>https://www.sec.gov/Archives/edgar/data/2003292/000000000025005760/filename1.pdf</x:v>
      </x:c>
      <x:c r="H8" s="26" t="str">
        <x:v>Tăng minh bạch và khả năng gặp người thật.</x:v>
      </x:c>
    </x:row>
    <x:row r="9" ht="78" customHeight="1">
      <x:c r="A9" s="26" t="n">
        <x:v>3</x:v>
      </x:c>
      <x:c r="B9" s="26" t="str">
        <x:v>Sẵn sàng</x:v>
      </x:c>
      <x:c r="C9" s="26" t="str">
        <x:v>Direction và hạ tầng đạt; absorption cần cơ chế học từ lỗi và owner chất lượng.</x:v>
      </x:c>
      <x:c r="D9" s="26" t="str">
        <x:v>LIÊN QUAN</x:v>
      </x:c>
      <x:c r="E9" s="26" t="str">
        <x:v>Gartner-Lite</x:v>
      </x:c>
      <x:c r="F9" s="26" t="str">
        <x:v>31 triệu hội thoại và 80% chat cho thấy khả năng triển khai lớn.</x:v>
      </x:c>
      <x:c r="G9" s="26" t="str">
        <x:v>https://www.sec.gov/Archives/edgar/data/2003292/000200329226000007/klar-20251231.htm</x:v>
      </x:c>
      <x:c r="H9" s="26" t="str">
        <x:v>Không mở rộng chỉ dựa trên volume.</x:v>
      </x:c>
    </x:row>
    <x:row r="10" ht="78" customHeight="1">
      <x:c r="A10" s="26" t="n">
        <x:v>4</x:v>
      </x:c>
      <x:c r="B10" s="26" t="str">
        <x:v>Tin cậy</x:v>
      </x:c>
      <x:c r="C10" s="26" t="str">
        <x:v>Chất lượng tổng hợp 'on-par' không đủ bảo đảm cho mọi phân khúc/ca rủi ro.</x:v>
      </x:c>
      <x:c r="D10" s="26" t="str">
        <x:v>GỐC</x:v>
      </x:c>
      <x:c r="E10" s="26" t="str">
        <x:v>Kiến trúc tin cậy</x:v>
      </x:c>
      <x:c r="F10" s="26" t="str">
        <x:v>SEC ghi satisfaction ngang người nhưng staff letter đồng thời nêu tín hiệu lower quality.</x:v>
      </x:c>
      <x:c r="G10" s="26" t="str">
        <x:v>https://www.sec.gov/Archives/edgar/data/2003292/000200329226000007/klar-20251231.htm</x:v>
      </x:c>
      <x:c r="H10" s="26" t="str">
        <x:v>Theo dõi chất lượng theo loại ca; QA mẫu và escalation.</x:v>
      </x:c>
    </x:row>
    <x:row r="11" ht="78" customHeight="1">
      <x:c r="A11" s="26" t="n">
        <x:v>5</x:v>
      </x:c>
      <x:c r="B11" s="26" t="str">
        <x:v>Đo lường</x:v>
      </x:c>
      <x:c r="C11" s="26" t="str">
        <x:v>Chi phí và tốc độ tốt nhưng cần quality gate/human-access metric.</x:v>
      </x:c>
      <x:c r="D11" s="26" t="str">
        <x:v>GỐC</x:v>
      </x:c>
      <x:c r="E11" s="26" t="str">
        <x:v>5 tầng đo lường</x:v>
      </x:c>
      <x:c r="F11" s="26" t="str">
        <x:v>2 phút so với 12 phút; giảm 25% câu hỏi lặp; 39 triệu USD tiết kiệm năm 2024.</x:v>
      </x:c>
      <x:c r="G11" s="26" t="str">
        <x:v>https://www.sec.gov/Archives/edgar/data/2003292/000200329226000007/klar-20251231.htm</x:v>
      </x:c>
      <x:c r="H11" s="26" t="str">
        <x:v>Giữ productivity metric nhưng quyết định bằng quality/risk.</x:v>
      </x:c>
    </x:row>
    <x:row r="13">
      <x:c r="A13" s="11" t="str">
        <x:v>KẾT LUẬN FRAMEWORK</x:v>
      </x:c>
      <x:c r="B13" s="11"/>
      <x:c r="C13" s="11"/>
      <x:c r="D13" s="11"/>
      <x:c r="E13" s="11"/>
      <x:c r="F13" s="11"/>
      <x:c r="G13" s="11"/>
      <x:c r="H13" s="11"/>
    </x:row>
    <x:row r="14">
      <x:c r="A14" s="56" t="str">
        <x:v>Framework</x:v>
      </x:c>
      <x:c r="B14" s="57" t="str">
        <x:v>Kết quả</x:v>
      </x:c>
      <x:c r="C14" s="57" t="str">
        <x:v>Điểm nghẽn</x:v>
      </x:c>
      <x:c r="D14" s="57" t="str">
        <x:v>Can thiệp</x:v>
      </x:c>
      <x:c r="E14" s="57" t="str">
        <x:v>Owner</x:v>
      </x:c>
      <x:c r="F14" s="57" t="str">
        <x:v>Dấu hiệu hoàn thành</x:v>
      </x:c>
      <x:c r="G14" s="57" t="str">
        <x:v>Nguồn kiểm chứng</x:v>
      </x:c>
      <x:c r="H14" s="58" t="str">
        <x:v>Quyết định</x:v>
      </x:c>
    </x:row>
    <x:row r="15" ht="72" customHeight="1">
      <x:c r="A15" s="24" t="str">
        <x:v>Gartner-Lite</x:v>
      </x:c>
      <x:c r="B15" s="24" t="str">
        <x:v>Direction/Readiness: ĐẠT; Absorption: CẦN SỬA</x:v>
      </x:c>
      <x:c r="C15" s="24" t="str">
        <x:v>Governance chất lượng theo phân khúc</x:v>
      </x:c>
      <x:c r="D15" s="24" t="str">
        <x:v>Quality gate + owner + vòng phản hồi</x:v>
      </x:c>
      <x:c r="E15" s="24" t="str">
        <x:v>Giang Minh Phú</x:v>
      </x:c>
      <x:c r="F15" s="24" t="str">
        <x:v>Dashboard có quality/risk metric, không chỉ volume</x:v>
      </x:c>
      <x:c r="G15" s="24" t="str">
        <x:v>https://www.sec.gov/Archives/edgar/data/2003292/000200329226000007/klar-20251231.htm</x:v>
      </x:c>
      <x:c r="H15" s="24" t="str">
        <x:v>Pilot sửa</x:v>
      </x:c>
    </x:row>
    <x:row r="16" ht="72" customHeight="1">
      <x:c r="A16" s="26" t="str">
        <x:v>Mollick</x:v>
      </x:c>
      <x:c r="B16" s="26" t="str">
        <x:v>AI hỗ trợ/tự động ca thường; người giữ quyền ở ca phức tạp</x:v>
      </x:c>
      <x:c r="C16" s="26" t="str">
        <x:v>Handoff chưa đủ nổi bật</x:v>
      </x:c>
      <x:c r="D16" s="26" t="str">
        <x:v>SLA chuyển người + quyền quyết định cuối</x:v>
      </x:c>
      <x:c r="E16" s="26" t="str">
        <x:v>Trần Thị Kiều Oanh</x:v>
      </x:c>
      <x:c r="F16" s="26" t="str">
        <x:v>100% ca phức tạp có đường chuyển người</x:v>
      </x:c>
      <x:c r="G16" s="26" t="str">
        <x:v>https://www.sec.gov/Archives/edgar/data/2003292/000162828025034998/filename1.htm</x:v>
      </x:c>
      <x:c r="H16" s="26" t="str">
        <x:v>Thiết kế lại</x:v>
      </x:c>
    </x:row>
    <x:row r="17" ht="72" customHeight="1">
      <x:c r="A17" s="26" t="str">
        <x:v>ADKAR</x:v>
      </x:c>
      <x:c r="B17" s="26" t="str">
        <x:v>Nghẽn chính: Desire</x:v>
      </x:c>
      <x:c r="C17" s="26" t="str">
        <x:v>Niềm tin vào chất lượng/human option</x:v>
      </x:c>
      <x:c r="D17" s="26" t="str">
        <x:v>Hiển thị tùy chọn gặp người; phản hồi rõ</x:v>
      </x:c>
      <x:c r="E17" s="26" t="str">
        <x:v>Lê Thị Thuý</x:v>
      </x:c>
      <x:c r="F17" s="26" t="str">
        <x:v>Giảm khiếu nại chất lượng; tăng first-contact resolution</x:v>
      </x:c>
      <x:c r="G17" s="26" t="str">
        <x:v>https://www.sec.gov/Archives/edgar/data/2003292/000000000025005760/filename1.pdf</x:v>
      </x:c>
      <x:c r="H17" s="26" t="str">
        <x:v>Không chỉ đào tạo</x:v>
      </x:c>
    </x:row>
    <x:row r="18" ht="72" customHeight="1">
      <x:c r="A18" s="26" t="str">
        <x:v>Kết luận</x:v>
      </x:c>
      <x:c r="B18" s="26" t="str">
        <x:v>SỬA, không dừng</x:v>
      </x:c>
      <x:c r="C18" s="26" t="str">
        <x:v>Lợi ích đã chứng minh nhưng có quality signal xấu</x:v>
      </x:c>
      <x:c r="D18" s="26" t="str">
        <x:v>Cân bằng automation với human-in-the-loop</x:v>
      </x:c>
      <x:c r="E18" s="26" t="str">
        <x:v>Cả nhóm</x:v>
      </x:c>
      <x:c r="F18" s="26" t="str">
        <x:v>Quality gate đạt trước scale</x:v>
      </x:c>
      <x:c r="G18" s="26" t="str">
        <x:v>https://www.sec.gov/Archives/edgar/data/2003292/000162828025052805/exhibit992klarnapresenta.htm</x:v>
      </x:c>
      <x:c r="H18" s="26" t="str">
        <x:v>SỬA</x:v>
      </x:c>
    </x:row>
  </x:sheetData>
  <x:mergeCells>
    <x:mergeCell ref="A1:H2"/>
    <x:mergeCell ref="A3:H3"/>
    <x:mergeCell ref="A5:H5"/>
    <x:mergeCell ref="A13:H1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7" hidden="0" customWidth="1"/>
    <x:col min="3" max="3" width="27" hidden="0" customWidth="1"/>
    <x:col min="4" max="4" width="20" hidden="0" customWidth="1"/>
    <x:col min="5" max="5" width="15" hidden="0" customWidth="1"/>
    <x:col min="6" max="6" width="14" hidden="0" customWidth="1"/>
    <x:col min="7" max="7" width="30" hidden="0" customWidth="1"/>
    <x:col min="8" max="8" width="34" hidden="0" customWidth="1"/>
    <x:col min="9" max="9" width="25" hidden="0" customWidth="1"/>
  </x:cols>
  <x:sheetData>
    <x:row r="1" ht="28" customHeight="1">
      <x:c r="A1" s="4" t="str">
        <x:v>THIẾT KẾ LẠI WORKFLOW</x:v>
      </x:c>
      <x:c r="B1" s="4"/>
      <x:c r="C1" s="4"/>
      <x:c r="D1" s="4"/>
      <x:c r="E1" s="4"/>
      <x:c r="F1" s="4"/>
      <x:c r="G1" s="4"/>
      <x:c r="H1" s="4"/>
      <x:c r="I1" s="4"/>
    </x:row>
    <x:row r="2" ht="15" customHeight="1">
      <x:c r="A2" s="4"/>
      <x:c r="B2" s="4"/>
      <x:c r="C2" s="4"/>
      <x:c r="D2" s="4"/>
      <x:c r="E2" s="4"/>
      <x:c r="F2" s="4"/>
      <x:c r="G2" s="4"/>
      <x:c r="H2" s="4"/>
      <x:c r="I2" s="4"/>
    </x:row>
    <x:row r="3" ht="36" customHeight="1">
      <x:c r="A3" s="8" t="str">
        <x:v>AS-IS và TO-BE cùng một đơn vị so sánh: quy trình xử lý một yêu cầu hỗ trợ của khách hàng Klarna.</x:v>
      </x:c>
      <x:c r="B3" s="8"/>
      <x:c r="C3" s="8"/>
      <x:c r="D3" s="8"/>
      <x:c r="E3" s="8"/>
      <x:c r="F3" s="8"/>
      <x:c r="G3" s="8"/>
      <x:c r="H3" s="8"/>
      <x:c r="I3" s="8"/>
    </x:row>
    <x:row r="5">
      <x:c r="A5" s="11" t="str">
        <x:v>AS-IS — TỐI ƯU VOLUME</x:v>
      </x:c>
      <x:c r="B5" s="11"/>
      <x:c r="C5" s="11"/>
      <x:c r="D5" s="11"/>
      <x:c r="F5" s="61" t="str">
        <x:v>TO-BE — AI + HUMAN-IN-THE-LOOP</x:v>
      </x:c>
      <x:c r="G5" s="61"/>
      <x:c r="H5" s="61"/>
      <x:c r="I5" s="61"/>
    </x:row>
    <x:row r="6">
      <x:c r="A6" s="56" t="str">
        <x:v>Bước</x:v>
      </x:c>
      <x:c r="B6" s="57" t="str">
        <x:v>Thực hiện</x:v>
      </x:c>
      <x:c r="C6" s="57" t="str">
        <x:v>Rủi ro</x:v>
      </x:c>
      <x:c r="D6" s="58" t="str">
        <x:v>Owner</x:v>
      </x:c>
      <x:c r="F6" s="56" t="str">
        <x:v>Bước</x:v>
      </x:c>
      <x:c r="G6" s="57" t="str">
        <x:v>Thực hiện</x:v>
      </x:c>
      <x:c r="H6" s="57" t="str">
        <x:v>Kiểm soát/handoff</x:v>
      </x:c>
      <x:c r="I6" s="58" t="str">
        <x:v>RACI / Owner</x:v>
      </x:c>
    </x:row>
    <x:row r="7" ht="48" customHeight="1">
      <x:c r="A7" s="24" t="n">
        <x:v>1</x:v>
      </x:c>
      <x:c r="B7" s="24" t="str">
        <x:v>Khách hàng gửi yêu cầu</x:v>
      </x:c>
      <x:c r="C7" s="24" t="str">
        <x:v>Chưa gắn mức độ phức tạp</x:v>
      </x:c>
      <x:c r="D7" s="24" t="str">
        <x:v>Customer Service Ops</x:v>
      </x:c>
      <x:c r="F7" s="24" t="n">
        <x:v>1</x:v>
      </x:c>
      <x:c r="G7" s="24" t="str">
        <x:v>Tiếp nhận + consent</x:v>
      </x:c>
      <x:c r="H7" s="24" t="str">
        <x:v>Cho chọn AI hoặc người ngay từ đầu</x:v>
      </x:c>
      <x:c r="I7" s="24" t="str">
        <x:v>Customer Service Ops (R)</x:v>
      </x:c>
    </x:row>
    <x:row r="8" ht="48" customHeight="1">
      <x:c r="A8" s="26" t="n">
        <x:v>2</x:v>
      </x:c>
      <x:c r="B8" s="26" t="str">
        <x:v>AI tiếp nhận và phân loại</x:v>
      </x:c>
      <x:c r="C8" s="26" t="str">
        <x:v>Có thể phân loại sai ca nhạy cảm</x:v>
      </x:c>
      <x:c r="D8" s="26" t="str">
        <x:v>AI Product</x:v>
      </x:c>
      <x:c r="F8" s="26" t="n">
        <x:v>2</x:v>
      </x:c>
      <x:c r="G8" s="26" t="str">
        <x:v>Phân loại mức rủi ro</x:v>
      </x:c>
      <x:c r="H8" s="26" t="str">
        <x:v>Luật rõ: tài chính, ID theft, khiếu nại → người</x:v>
      </x:c>
      <x:c r="I8" s="26" t="str">
        <x:v>Giang Minh Phú (A)</x:v>
      </x:c>
    </x:row>
    <x:row r="9" ht="48" customHeight="1">
      <x:c r="A9" s="26" t="n">
        <x:v>3</x:v>
      </x:c>
      <x:c r="B9" s="26" t="str">
        <x:v>AI tự giải quyết</x:v>
      </x:c>
      <x:c r="C9" s="26" t="str">
        <x:v>Tối ưu tốc độ/chi phí có thể lấn chất lượng</x:v>
      </x:c>
      <x:c r="D9" s="26" t="str">
        <x:v>AI Product</x:v>
      </x:c>
      <x:c r="F9" s="26" t="n">
        <x:v>3</x:v>
      </x:c>
      <x:c r="G9" s="26" t="str">
        <x:v>AI xử lý ca thường</x:v>
      </x:c>
      <x:c r="H9" s="26" t="str">
        <x:v>Guardrail + nguồn chính sách + audit log</x:v>
      </x:c>
      <x:c r="I9" s="26" t="str">
        <x:v>AI hỗ trợ</x:v>
      </x:c>
    </x:row>
    <x:row r="10" ht="48" customHeight="1">
      <x:c r="A10" s="26" t="n">
        <x:v>4</x:v>
      </x:c>
      <x:c r="B10" s="26" t="str">
        <x:v>Khách hàng hỏi lại nếu chưa ổn</x:v>
      </x:c>
      <x:c r="C10" s="26" t="str">
        <x:v>Repeat inquiry là tín hiệu trễ</x:v>
      </x:c>
      <x:c r="D10" s="26" t="str">
        <x:v>Customer Service Ops</x:v>
      </x:c>
      <x:c r="F10" s="26" t="n">
        <x:v>4</x:v>
      </x:c>
      <x:c r="G10" s="26" t="str">
        <x:v>Kiểm tra confidence/intent</x:v>
      </x:c>
      <x:c r="H10" s="26" t="str">
        <x:v>Dưới ngưỡng hoặc hỏi lại lần 2 → chuyển người</x:v>
      </x:c>
      <x:c r="I10" s="26" t="str">
        <x:v>Lê Thị Thuý (R — QA)</x:v>
      </x:c>
    </x:row>
    <x:row r="11" ht="48" customHeight="1">
      <x:c r="A11" s="26" t="n">
        <x:v>5</x:v>
      </x:c>
      <x:c r="B11" s="26" t="str">
        <x:v>Chuyển người khi cần</x:v>
      </x:c>
      <x:c r="C11" s="26" t="str">
        <x:v>Lựa chọn/SLA chưa được đo như quality gate</x:v>
      </x:c>
      <x:c r="D11" s="26" t="str">
        <x:v>Human Support</x:v>
      </x:c>
      <x:c r="F11" s="26" t="n">
        <x:v>5</x:v>
      </x:c>
      <x:c r="G11" s="26" t="str">
        <x:v>Người xử lý ca phức tạp</x:v>
      </x:c>
      <x:c r="H11" s="26" t="str">
        <x:v>Con người giữ quyền quyết định và ngoại lệ</x:v>
      </x:c>
      <x:c r="I11" s="26" t="str">
        <x:v>Trần Thị Kiều Oanh (A)</x:v>
      </x:c>
    </x:row>
    <x:row r="12" ht="48" customHeight="1">
      <x:c r="F12" s="26" t="n">
        <x:v>6</x:v>
      </x:c>
      <x:c r="G12" s="26" t="str">
        <x:v>QA mẫu + phản hồi</x:v>
      </x:c>
      <x:c r="H12" s="26" t="str">
        <x:v>Phân tầng theo loại ca, severity và root cause</x:v>
      </x:c>
      <x:c r="I12" s="26" t="str">
        <x:v>Lê Thị Thuý (R)</x:v>
      </x:c>
    </x:row>
    <x:row r="13" ht="48" customHeight="1">
      <x:c r="F13" s="26" t="n">
        <x:v>7</x:v>
      </x:c>
      <x:c r="G13" s="26" t="str">
        <x:v>Cập nhật dashboard</x:v>
      </x:c>
      <x:c r="H13" s="26" t="str">
        <x:v>Quality/risk quyết định scale, không chỉ cost</x:v>
      </x:c>
      <x:c r="I13" s="26" t="str">
        <x:v>Giang Minh Phú (R)</x:v>
      </x:c>
    </x:row>
    <x:row r="14">
      <x:c r="A14" s="11" t="str">
        <x:v>PHÂN CHIA NGƯỜI – AI (MOLLICK)</x:v>
      </x:c>
      <x:c r="B14" s="11"/>
      <x:c r="C14" s="11"/>
      <x:c r="D14" s="11"/>
      <x:c r="E14" s="11"/>
      <x:c r="F14" s="11"/>
      <x:c r="G14" s="11"/>
      <x:c r="H14" s="11"/>
      <x:c r="I14" s="11"/>
    </x:row>
    <x:row r="15">
      <x:c r="A15" s="56" t="str">
        <x:v>Vùng</x:v>
      </x:c>
      <x:c r="B15" s="57" t="str">
        <x:v>Nhiệm vụ</x:v>
      </x:c>
      <x:c r="C15" s="57" t="str">
        <x:v>Điều kiện</x:v>
      </x:c>
      <x:c r="D15" s="57" t="str">
        <x:v>Quyền cuối</x:v>
      </x:c>
      <x:c r="E15" s="57" t="str">
        <x:v>Kiểm chứng</x:v>
      </x:c>
      <x:c r="F15" s="57" t="str">
        <x:v>Khi AI không chắc</x:v>
      </x:c>
      <x:c r="G15" s="57" t="str">
        <x:v>Owner</x:v>
      </x:c>
      <x:c r="H15" s="57" t="str">
        <x:v>Log</x:v>
      </x:c>
      <x:c r="I15" s="58" t="str">
        <x:v>Rủi ro</x:v>
      </x:c>
    </x:row>
    <x:row r="16" ht="62" customHeight="1">
      <x:c r="A16" s="24" t="str">
        <x:v>Người giữ quyền</x:v>
      </x:c>
      <x:c r="B16" s="24" t="str">
        <x:v>Ca tài chính/ID theft/khiếu nại/ngoại lệ</x:v>
      </x:c>
      <x:c r="C16" s="24" t="str">
        <x:v>Luôn chuyển người</x:v>
      </x:c>
      <x:c r="D16" s="24" t="str">
        <x:v>Con người</x:v>
      </x:c>
      <x:c r="E16" s="24" t="str">
        <x:v>QA + policy</x:v>
      </x:c>
      <x:c r="F16" s="24" t="str">
        <x:v>Không dùng quyết định AI</x:v>
      </x:c>
      <x:c r="G16" s="24" t="str">
        <x:v>Trần Thị Kiều Oanh</x:v>
      </x:c>
      <x:c r="H16" s="24" t="str">
        <x:v>Escalation log</x:v>
      </x:c>
      <x:c r="I16" s="24" t="str">
        <x:v>Cao</x:v>
      </x:c>
    </x:row>
    <x:row r="17" ht="62" customHeight="1">
      <x:c r="A17" s="26" t="str">
        <x:v>AI hỗ trợ</x:v>
      </x:c>
      <x:c r="B17" s="26" t="str">
        <x:v>Tóm tắt lịch sử, đề xuất câu trả lời</x:v>
      </x:c>
      <x:c r="C17" s="26" t="str">
        <x:v>Ca phức tạp đã chuyển</x:v>
      </x:c>
      <x:c r="D17" s="26" t="str">
        <x:v>Con người</x:v>
      </x:c>
      <x:c r="E17" s="26" t="str">
        <x:v>Agent kiểm trước gửi</x:v>
      </x:c>
      <x:c r="F17" s="26" t="str">
        <x:v>Hiển thị uncertainty</x:v>
      </x:c>
      <x:c r="G17" s="26" t="str">
        <x:v>Giang Minh Phú</x:v>
      </x:c>
      <x:c r="H17" s="26" t="str">
        <x:v>Prompt/source log</x:v>
      </x:c>
      <x:c r="I17" s="26" t="str">
        <x:v>Vừa</x:v>
      </x:c>
    </x:row>
    <x:row r="18" ht="62" customHeight="1">
      <x:c r="A18" s="26" t="str">
        <x:v>AI tự động có kiểm soát</x:v>
      </x:c>
      <x:c r="B18" s="26" t="str">
        <x:v>FAQ, trạng thái, thao tác lặp lại</x:v>
      </x:c>
      <x:c r="C18" s="26" t="str">
        <x:v>Rủi ro thấp + confidence đạt</x:v>
      </x:c>
      <x:c r="D18" s="26" t="str">
        <x:v>Quy tắc duyệt</x:v>
      </x:c>
      <x:c r="E18" s="26" t="str">
        <x:v>QA mẫu phân tầng</x:v>
      </x:c>
      <x:c r="F18" s="26" t="str">
        <x:v>Chuyển người tự động</x:v>
      </x:c>
      <x:c r="G18" s="26" t="str">
        <x:v>Lê Thị Thuý</x:v>
      </x:c>
      <x:c r="H18" s="26" t="str">
        <x:v>QA/feedback log</x:v>
      </x:c>
      <x:c r="I18" s="26" t="str">
        <x:v>Thấp</x:v>
      </x:c>
    </x:row>
  </x:sheetData>
  <x:mergeCells>
    <x:mergeCell ref="A1:I2"/>
    <x:mergeCell ref="A3:I3"/>
    <x:mergeCell ref="A5:D5"/>
    <x:mergeCell ref="F5:I5"/>
    <x:mergeCell ref="A14:I1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5" hidden="0" customWidth="1"/>
    <x:col min="3" max="3" width="36" hidden="0" customWidth="1"/>
    <x:col min="4" max="4" width="24" hidden="0" customWidth="1"/>
    <x:col min="5" max="5" width="34" hidden="0" customWidth="1"/>
    <x:col min="6" max="6" width="38" hidden="0" customWidth="1"/>
    <x:col min="7" max="7" width="34" hidden="0" customWidth="1"/>
    <x:col min="8" max="8" width="18" hidden="0" customWidth="1"/>
  </x:cols>
  <x:sheetData>
    <x:row r="1" ht="28" customHeight="1">
      <x:c r="A1" s="4" t="str">
        <x:v>LỘ TRÌNH 30–60–90 NGÀY</x:v>
      </x:c>
      <x:c r="B1" s="4"/>
      <x:c r="C1" s="4"/>
      <x:c r="D1" s="4"/>
      <x:c r="E1" s="4"/>
      <x:c r="F1" s="4"/>
      <x:c r="G1" s="4"/>
      <x:c r="H1" s="4"/>
    </x:row>
    <x:row r="2" ht="15" customHeight="1">
      <x:c r="A2" s="4"/>
      <x:c r="B2" s="4"/>
      <x:c r="C2" s="4"/>
      <x:c r="D2" s="4"/>
      <x:c r="E2" s="4"/>
      <x:c r="F2" s="4"/>
      <x:c r="G2" s="4"/>
      <x:c r="H2" s="4"/>
    </x:row>
    <x:row r="3" ht="36" customHeight="1">
      <x:c r="A3" s="8" t="str">
        <x:v>Ba cổng quyết định dựa trên bằng chứng; owner là thành viên chịu trách nhiệm hoàn thiện thiết kế trong bài.</x:v>
      </x:c>
      <x:c r="B3" s="8"/>
      <x:c r="C3" s="8"/>
      <x:c r="D3" s="8"/>
      <x:c r="E3" s="8"/>
      <x:c r="F3" s="8"/>
      <x:c r="G3" s="8"/>
      <x:c r="H3" s="8"/>
    </x:row>
    <x:row r="5">
      <x:c r="A5" s="56" t="str">
        <x:v>Giai đoạn</x:v>
      </x:c>
      <x:c r="B5" s="57" t="str">
        <x:v>Mục tiêu cổng</x:v>
      </x:c>
      <x:c r="C5" s="57" t="str">
        <x:v>Hành động chính</x:v>
      </x:c>
      <x:c r="D5" s="57" t="str">
        <x:v>Owner</x:v>
      </x:c>
      <x:c r="E5" s="57" t="str">
        <x:v>Bằng chứng hoàn thành</x:v>
      </x:c>
      <x:c r="F5" s="57" t="str">
        <x:v>Tiêu chí qua cổng</x:v>
      </x:c>
      <x:c r="G5" s="57" t="str">
        <x:v>Nếu không đạt</x:v>
      </x:c>
      <x:c r="H5" s="58" t="str">
        <x:v>Trạng thái</x:v>
      </x:c>
    </x:row>
    <x:row r="6" ht="96" customHeight="1">
      <x:c r="A6" s="24" t="str">
        <x:v>0–30 ngày</x:v>
      </x:c>
      <x:c r="B6" s="24" t="str">
        <x:v>Khoá phạm vi và quality baseline</x:v>
      </x:c>
      <x:c r="C6" s="24" t="str">
        <x:v>Chuẩn hoá 4 workflow; taxonomy ca phức tạp; data dictionary; baseline từ SEC và log mẫu.</x:v>
      </x:c>
      <x:c r="D6" s="24" t="str">
        <x:v>Giang Minh Phú</x:v>
      </x:c>
      <x:c r="E6" s="24" t="str">
        <x:v>Danh mục metric + nguồn + RACI + baseline</x:v>
      </x:c>
      <x:c r="F6" s="24" t="str">
        <x:v>100% metric có baseline/target/source/owner; taxonomy được duyệt</x:v>
      </x:c>
      <x:c r="G6" s="24" t="str">
        <x:v>Thu hẹp workflow; bổ sung định nghĩa dữ liệu</x:v>
      </x:c>
      <x:c r="H6" s="62" t="str">
        <x:v>ĐẠT</x:v>
      </x:c>
    </x:row>
    <x:row r="7" ht="96" customHeight="1">
      <x:c r="A7" s="26" t="str">
        <x:v>31–60 ngày</x:v>
      </x:c>
      <x:c r="B7" s="26" t="str">
        <x:v>Chứng minh handoff và chất lượng</x:v>
      </x:c>
      <x:c r="C7" s="26" t="str">
        <x:v>Thiết kế SLA chuyển người; QA mẫu phân tầng; đo human-access và lỗi nghiêm trọng.</x:v>
      </x:c>
      <x:c r="D7" s="26" t="str">
        <x:v>Lê Thị Thuý</x:v>
      </x:c>
      <x:c r="E7" s="26" t="str">
        <x:v>QA report + escalation log + lỗi theo severity</x:v>
      </x:c>
      <x:c r="F7" s="26" t="str">
        <x:v>100% ca phức tạp có đường chuyển; 0 lỗi nghiêm trọng; CSAT index ≥100</x:v>
      </x:c>
      <x:c r="G7" s="26" t="str">
        <x:v>Giữ pilot; tăng human review; sửa routing</x:v>
      </x:c>
      <x:c r="H7" s="63" t="str">
        <x:v>ĐANG SỬA</x:v>
      </x:c>
    </x:row>
    <x:row r="8" ht="96" customHeight="1">
      <x:c r="A8" s="26" t="str">
        <x:v>61–90 ngày</x:v>
      </x:c>
      <x:c r="B8" s="26" t="str">
        <x:v>Quyết định scale</x:v>
      </x:c>
      <x:c r="C8" s="26" t="str">
        <x:v>Đối chiếu 6 metric; xác nhận owner vận hành; phê duyệt governance và human option.</x:v>
      </x:c>
      <x:c r="D8" s="26" t="str">
        <x:v>Trần Thị Kiều Oanh</x:v>
      </x:c>
      <x:c r="E8" s="26" t="str">
        <x:v>Biên bản gate + dashboard + sponsor sign-off</x:v>
      </x:c>
      <x:c r="F8" s="26" t="str">
        <x:v>Không còn quality-risk flag; năng suất không giảm quá 10%</x:v>
      </x:c>
      <x:c r="G8" s="26" t="str">
        <x:v>SỬA thêm một vòng hoặc DỪNG workflow rủi ro</x:v>
      </x:c>
      <x:c r="H8" s="63" t="str">
        <x:v>CHỜ GATE 60</x:v>
      </x:c>
    </x:row>
  </x:sheetData>
  <x:mergeCells>
    <x:mergeCell ref="A1:H2"/>
    <x:mergeCell ref="A3:H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2" hidden="0" customWidth="1"/>
    <x:col min="3" max="3" width="30" hidden="0" customWidth="1"/>
    <x:col min="4" max="4" width="15" hidden="0" customWidth="1"/>
    <x:col min="5" max="5" width="10" hidden="0" customWidth="1"/>
    <x:col min="6" max="6" width="13" hidden="0" customWidth="1"/>
    <x:col min="7" max="7" width="13" hidden="0" customWidth="1"/>
    <x:col min="8" max="8" width="30" hidden="0" customWidth="1"/>
    <x:col min="9" max="9" width="14" hidden="0" customWidth="1"/>
    <x:col min="10" max="10" width="42" hidden="0" customWidth="1"/>
    <x:col min="11" max="11" width="46" hidden="0" customWidth="1"/>
  </x:cols>
  <x:sheetData>
    <x:row r="1" ht="28" customHeight="1">
      <x:c r="A1" s="4" t="str">
        <x:v>METRICS — BASELINE &amp; KẾT QUẢ CÔNG KHAI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15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</x:row>
    <x:row r="3" ht="36" customHeight="1">
      <x:c r="A3" s="8" t="str">
        <x:v>Dữ liệu baseline/kết quả lấy từ hồ sơ SEC/Klarna. Trạng thái và quyết định tự tính; không còn ô dữ liệu nháp.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</x:row>
    <x:row r="5">
      <x:c r="A5" s="56" t="str">
        <x:v>Tầng</x:v>
      </x:c>
      <x:c r="B5" s="57" t="str">
        <x:v>Cấp</x:v>
      </x:c>
      <x:c r="C5" s="57" t="str">
        <x:v>Chỉ số</x:v>
      </x:c>
      <x:c r="D5" s="57" t="str">
        <x:v>Baseline</x:v>
      </x:c>
      <x:c r="E5" s="57" t="str">
        <x:v>Chiều</x:v>
      </x:c>
      <x:c r="F5" s="57" t="str">
        <x:v>Mục tiêu</x:v>
      </x:c>
      <x:c r="G5" s="57" t="str">
        <x:v>Kết quả</x:v>
      </x:c>
      <x:c r="H5" s="57" t="str">
        <x:v>Nguồn dữ liệu</x:v>
      </x:c>
      <x:c r="I5" s="57" t="str">
        <x:v>Trạng thái</x:v>
      </x:c>
      <x:c r="J5" s="57" t="str">
        <x:v>Owner / hành động khi xấu</x:v>
      </x:c>
      <x:c r="K5" s="58" t="str">
        <x:v>URL nguồn</x:v>
      </x:c>
    </x:row>
    <x:row r="6" ht="74" customHeight="1">
      <x:c r="A6" s="24" t="n">
        <x:v>1</x:v>
      </x:c>
      <x:c r="B6" s="24" t="str">
        <x:v>Product</x:v>
      </x:c>
      <x:c r="C6" s="24" t="str">
        <x:v>Tỷ lệ chat CSKH do AI xử lý</x:v>
      </x:c>
      <x:c r="D6" s="64" t="n">
        <x:v>0.66</x:v>
      </x:c>
      <x:c r="E6" s="24" t="str">
        <x:v>&gt;=</x:v>
      </x:c>
      <x:c r="F6" s="64" t="n">
        <x:v>0.8</x:v>
      </x:c>
      <x:c r="G6" s="64" t="n">
        <x:v>0.8</x:v>
      </x:c>
      <x:c r="H6" s="24" t="str">
        <x:v>Service chat log công bố trong hồ sơ SEC</x:v>
      </x:c>
      <x:c r="I6" s="24" t="str">
        <x:f>IF(E6="&gt;=",IF(G6&gt;=F6,"ĐẠT","XẤU"),IF(G6&lt;=F6,"ĐẠT","XẤU"))</x:f>
        <x:v>ĐẠT</x:v>
      </x:c>
      <x:c r="J6" s="24" t="str">
        <x:v>Giang Minh Phú — nếu giảm: phân tích intent/routing; không ép usage bằng mọi giá.</x:v>
      </x:c>
      <x:c r="K6" s="24" t="str">
        <x:v>https://www.sec.gov/Archives/edgar/data/2003292/000200329226000007/klar-20251231.htm</x:v>
      </x:c>
    </x:row>
    <x:row r="7" ht="74" customHeight="1">
      <x:c r="A7" s="26" t="n">
        <x:v>2</x:v>
      </x:c>
      <x:c r="B7" s="26" t="str">
        <x:v>Workflow</x:v>
      </x:c>
      <x:c r="C7" s="26" t="str">
        <x:v>Thời gian xử lý trung bình (phút)</x:v>
      </x:c>
      <x:c r="D7" s="26" t="n">
        <x:v>12</x:v>
      </x:c>
      <x:c r="E7" s="26" t="str">
        <x:v>&lt;=</x:v>
      </x:c>
      <x:c r="F7" s="26" t="n">
        <x:v>3</x:v>
      </x:c>
      <x:c r="G7" s="26" t="n">
        <x:v>2</x:v>
      </x:c>
      <x:c r="H7" s="26" t="str">
        <x:v>Service chat log: human 12 phút, AI 2 phút</x:v>
      </x:c>
      <x:c r="I7" s="26" t="str">
        <x:f>IF(E7="&gt;=",IF(G7&gt;=F7,"ĐẠT","XẤU"),IF(G7&lt;=F7,"ĐẠT","XẤU"))</x:f>
        <x:v>ĐẠT</x:v>
      </x:c>
      <x:c r="J7" s="26" t="str">
        <x:v>Trần Thị Kiều Oanh — nếu tăng: xem lại routing, retrieval và handoff.</x:v>
      </x:c>
      <x:c r="K7" s="26" t="str">
        <x:v>https://www.sec.gov/Archives/edgar/data/2003292/000200329226000007/klar-20251231.htm</x:v>
      </x:c>
    </x:row>
    <x:row r="8" ht="74" customHeight="1">
      <x:c r="A8" s="26" t="n">
        <x:v>3</x:v>
      </x:c>
      <x:c r="B8" s="26" t="str">
        <x:v>Workflow</x:v>
      </x:c>
      <x:c r="C8" s="26" t="str">
        <x:v>Chỉ số câu hỏi lặp lại (trước AI = 100)</x:v>
      </x:c>
      <x:c r="D8" s="26" t="n">
        <x:v>100</x:v>
      </x:c>
      <x:c r="E8" s="26" t="str">
        <x:v>&lt;=</x:v>
      </x:c>
      <x:c r="F8" s="26" t="n">
        <x:v>75</x:v>
      </x:c>
      <x:c r="G8" s="26" t="n">
        <x:v>75</x:v>
      </x:c>
      <x:c r="H8" s="26" t="str">
        <x:v>Repeat inquiries giảm 25% sau launch</x:v>
      </x:c>
      <x:c r="I8" s="26" t="str">
        <x:f>IF(E8="&gt;=",IF(G8&gt;=F8,"ĐẠT","XẤU"),IF(G8&lt;=F8,"ĐẠT","XẤU"))</x:f>
        <x:v>ĐẠT</x:v>
      </x:c>
      <x:c r="J8" s="26" t="str">
        <x:v>Trần Thị Kiều Oanh — nếu &gt;75: phân loại nguyên nhân và tăng human follow-up.</x:v>
      </x:c>
      <x:c r="K8" s="26" t="str">
        <x:v>https://www.sec.gov/Archives/edgar/data/2003292/000200329226000007/klar-20251231.htm</x:v>
      </x:c>
    </x:row>
    <x:row r="9" ht="74" customHeight="1">
      <x:c r="A9" s="26" t="n">
        <x:v>4</x:v>
      </x:c>
      <x:c r="B9" s="26" t="str">
        <x:v>Product</x:v>
      </x:c>
      <x:c r="C9" s="26" t="str">
        <x:v>CSAT tương đối (human = 100)</x:v>
      </x:c>
      <x:c r="D9" s="26" t="n">
        <x:v>100</x:v>
      </x:c>
      <x:c r="E9" s="26" t="str">
        <x:v>&gt;=</x:v>
      </x:c>
      <x:c r="F9" s="26" t="n">
        <x:v>100</x:v>
      </x:c>
      <x:c r="G9" s="26" t="n">
        <x:v>100</x:v>
      </x:c>
      <x:c r="H9" s="26" t="str">
        <x:v>Khảo sát nội bộ công bố: AI on-par human</x:v>
      </x:c>
      <x:c r="I9" s="26" t="str">
        <x:f>IF(E9="&gt;=",IF(G9&gt;=F9,"ĐẠT","XẤU"),IF(G9&lt;=F9,"ĐẠT","XẤU"))</x:f>
        <x:v>ĐẠT</x:v>
      </x:c>
      <x:c r="J9" s="26" t="str">
        <x:v>Lê Thị Thuý — nếu &lt;100: QA theo phân khúc/intent và tăng human option.</x:v>
      </x:c>
      <x:c r="K9" s="26" t="str">
        <x:v>https://www.sec.gov/Archives/edgar/data/2003292/000200329226000007/klar-20251231.htm</x:v>
      </x:c>
    </x:row>
    <x:row r="10" ht="74" customHeight="1">
      <x:c r="A10" s="26" t="n">
        <x:v>5</x:v>
      </x:c>
      <x:c r="B10" s="26" t="str">
        <x:v>Value</x:v>
      </x:c>
      <x:c r="C10" s="26" t="str">
        <x:v>Tiết kiệm chi phí năm/annualized (triệu USD)</x:v>
      </x:c>
      <x:c r="D10" s="26" t="n">
        <x:v>39</x:v>
      </x:c>
      <x:c r="E10" s="26" t="str">
        <x:v>&gt;=</x:v>
      </x:c>
      <x:c r="F10" s="26" t="n">
        <x:v>40</x:v>
      </x:c>
      <x:c r="G10" s="26" t="n">
        <x:v>58</x:v>
      </x:c>
      <x:c r="H10" s="26" t="str">
        <x:v>2024: 39m; annualized Sep-2025: 58m</x:v>
      </x:c>
      <x:c r="I10" s="26" t="str">
        <x:f>IF(E10="&gt;=",IF(G10&gt;=F10,"ĐẠT","XẤU"),IF(G10&lt;=F10,"ĐẠT","XẤU"))</x:f>
        <x:v>ĐẠT</x:v>
      </x:c>
      <x:c r="J10" s="26" t="str">
        <x:v>Giang Minh Phú — nếu &lt;40: rà cost-to-serve nhưng không cắt quality control.</x:v>
      </x:c>
      <x:c r="K10" s="26" t="str">
        <x:v>https://www.sec.gov/Archives/edgar/data/2003292/000162828025052805/exhibit992klarnapresenta.htm</x:v>
      </x:c>
    </x:row>
    <x:row r="11" ht="74" customHeight="1">
      <x:c r="A11" s="26" t="n">
        <x:v>4</x:v>
      </x:c>
      <x:c r="B11" s="26" t="str">
        <x:v>Risk</x:v>
      </x:c>
      <x:c r="C11" s="26" t="str">
        <x:v>Tín hiệu công khai về chất lượng thấp hơn (0/1)</x:v>
      </x:c>
      <x:c r="D11" s="26" t="n">
        <x:v>0</x:v>
      </x:c>
      <x:c r="E11" s="26" t="str">
        <x:v>&lt;=</x:v>
      </x:c>
      <x:c r="F11" s="26" t="n">
        <x:v>0</x:v>
      </x:c>
      <x:c r="G11" s="26" t="n">
        <x:v>1</x:v>
      </x:c>
      <x:c r="H11" s="26" t="str">
        <x:v>SEC staff letter dẫn phát biểu CEO về lower quality</x:v>
      </x:c>
      <x:c r="I11" s="26" t="str">
        <x:f>IF(E11="&gt;=",IF(G11&gt;=F11,"ĐẠT","XẤU"),IF(G11&lt;=F11,"ĐẠT","XẤU"))</x:f>
        <x:v>XẤU</x:v>
      </x:c>
      <x:c r="J11" s="26" t="str">
        <x:v>Lê Thị Thuý — quality stop: tăng human-in-the-loop, SLA escalation và QA mẫu.</x:v>
      </x:c>
      <x:c r="K11" s="26" t="str">
        <x:v>https://www.sec.gov/Archives/edgar/data/2003292/000000000025005760/filename1.pdf</x:v>
      </x:c>
    </x:row>
    <x:row r="13">
      <x:c r="A13" s="11" t="str">
        <x:v>GHI CHÚ ĐỊNH NGHĨA</x:v>
      </x:c>
      <x:c r="B13" s="11"/>
      <x:c r="C13" s="11"/>
      <x:c r="D13" s="11"/>
      <x:c r="E13" s="11"/>
      <x:c r="F13" s="11"/>
      <x:c r="G13" s="11"/>
      <x:c r="H13" s="11"/>
      <x:c r="I13" s="11"/>
      <x:c r="J13" s="11"/>
      <x:c r="K13" s="11"/>
    </x:row>
    <x:row r="14" ht="38" customHeight="1">
      <x:c r="A14" s="23" t="str">
        <x:v>CSAT index</x:v>
      </x:c>
      <x:c r="B14" s="24" t="str">
        <x:v>Do nguồn chỉ công bố 'on-par', quy đổi human=100 và AI=100; không diễn giải thành điểm CSAT tuyệt đối.</x:v>
      </x:c>
      <x:c r="C14" s="24"/>
      <x:c r="D14" s="24"/>
      <x:c r="E14" s="24"/>
      <x:c r="F14" s="24"/>
      <x:c r="G14" s="24"/>
      <x:c r="H14" s="24"/>
      <x:c r="I14" s="24"/>
      <x:c r="J14" s="24"/>
      <x:c r="K14" s="24"/>
    </x:row>
    <x:row r="15" ht="38" customHeight="1">
      <x:c r="A15" s="25" t="str">
        <x:v>Repeat index</x:v>
      </x:c>
      <x:c r="B15" s="26" t="str">
        <x:v>Baseline trước AI=100; giảm 25% tương ứng kết quả=75. Đây là chỉ số chuẩn hoá, không phải số ticket tuyệt đối.</x:v>
      </x:c>
      <x:c r="C15" s="26"/>
      <x:c r="D15" s="26"/>
      <x:c r="E15" s="26"/>
      <x:c r="F15" s="26"/>
      <x:c r="G15" s="26"/>
      <x:c r="H15" s="26"/>
      <x:c r="I15" s="26"/>
      <x:c r="J15" s="26"/>
      <x:c r="K15" s="26"/>
    </x:row>
    <x:row r="16" ht="38" customHeight="1">
      <x:c r="A16" s="25" t="str">
        <x:v>Quality flag</x:v>
      </x:c>
      <x:c r="B16" s="26" t="str">
        <x:v>Biến nhị phân dựa trên bằng chứng công khai: 1 khi có tín hiệu lower quality cần quality gate; target=0.</x:v>
      </x:c>
      <x:c r="C16" s="26"/>
      <x:c r="D16" s="26"/>
      <x:c r="E16" s="26"/>
      <x:c r="F16" s="26"/>
      <x:c r="G16" s="26"/>
      <x:c r="H16" s="26"/>
      <x:c r="I16" s="26"/>
      <x:c r="J16" s="26"/>
      <x:c r="K16" s="26"/>
    </x:row>
  </x:sheetData>
  <x:mergeCells>
    <x:mergeCell ref="A1:K2"/>
    <x:mergeCell ref="A3:K3"/>
    <x:mergeCell ref="A13:K13"/>
    <x:mergeCell ref="B14:K14"/>
    <x:mergeCell ref="B15:K15"/>
    <x:mergeCell ref="B16:K16"/>
  </x:mergeCells>
  <x:conditionalFormatting sqref="I6:I11">
    <x:cfRule type="containsText" dxfId="0" priority="1" operator="containsText" text="ĐẠT"/>
    <x:cfRule type="containsText" dxfId="1" priority="2" operator="containsText" text="XẤU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8" hidden="0" customWidth="1"/>
    <x:col min="3" max="3" width="34" hidden="0" customWidth="1"/>
    <x:col min="4" max="4" width="30" hidden="0" customWidth="1"/>
    <x:col min="5" max="5" width="38" hidden="0" customWidth="1"/>
    <x:col min="6" max="6" width="24" hidden="0" customWidth="1"/>
    <x:col min="7" max="7" width="22" hidden="0" customWidth="1"/>
    <x:col min="8" max="8" width="16" hidden="0" customWidth="1"/>
  </x:cols>
  <x:sheetData>
    <x:row r="1" ht="28" customHeight="1">
      <x:c r="A1" s="4" t="str">
        <x:v>KIỂM TRA CHÉO &amp; THAY ĐỔI V2</x:v>
      </x:c>
      <x:c r="B1" s="4"/>
      <x:c r="C1" s="4"/>
      <x:c r="D1" s="4"/>
      <x:c r="E1" s="4"/>
      <x:c r="F1" s="4"/>
      <x:c r="G1" s="4"/>
      <x:c r="H1" s="4"/>
    </x:row>
    <x:row r="2" ht="15" customHeight="1">
      <x:c r="A2" s="4"/>
      <x:c r="B2" s="4"/>
      <x:c r="C2" s="4"/>
      <x:c r="D2" s="4"/>
      <x:c r="E2" s="4"/>
      <x:c r="F2" s="4"/>
      <x:c r="G2" s="4"/>
      <x:c r="H2" s="4"/>
    </x:row>
    <x:row r="3" ht="36" customHeight="1">
      <x:c r="A3" s="8" t="str">
        <x:v>Nhóm phản biện: Flaiiin | Ba thay đổi có thể đối chiếu trực tiếp giữa v1 và v2.</x:v>
      </x:c>
      <x:c r="B3" s="8"/>
      <x:c r="C3" s="8"/>
      <x:c r="D3" s="8"/>
      <x:c r="E3" s="8"/>
      <x:c r="F3" s="8"/>
      <x:c r="G3" s="8"/>
      <x:c r="H3" s="8"/>
    </x:row>
    <x:row r="5">
      <x:c r="A5" s="56" t="str">
        <x:v>#</x:v>
      </x:c>
      <x:c r="B5" s="57" t="str">
        <x:v>Trục</x:v>
      </x:c>
      <x:c r="C5" s="57" t="str">
        <x:v>Góp ý nhận từ Flaiiin</x:v>
      </x:c>
      <x:c r="D5" s="57" t="str">
        <x:v>Vấn đề ở v1</x:v>
      </x:c>
      <x:c r="E5" s="57" t="str">
        <x:v>Thay đổi trong v2</x:v>
      </x:c>
      <x:c r="F5" s="57" t="str">
        <x:v>Vị trí</x:v>
      </x:c>
      <x:c r="G5" s="57" t="str">
        <x:v>Owner</x:v>
      </x:c>
      <x:c r="H5" s="58" t="str">
        <x:v>Trạng thái</x:v>
      </x:c>
    </x:row>
    <x:row r="6" ht="78" customHeight="1">
      <x:c r="A6" s="24" t="n">
        <x:v>1</x:v>
      </x:c>
      <x:c r="B6" s="24" t="str">
        <x:v>Chỉ số</x:v>
      </x:c>
      <x:c r="C6" s="24" t="str">
        <x:v>Activity/volume chưa chứng minh adoption có chất lượng.</x:v>
      </x:c>
      <x:c r="D6" s="24" t="str">
        <x:v>V1 nhấn volume và cost; chưa có quality gate.</x:v>
      </x:c>
      <x:c r="E6" s="24" t="str">
        <x:v>Thêm CSAT index, repeat inquiry, quality-risk flag và action khi xấu.</x:v>
      </x:c>
      <x:c r="F6" s="24" t="str">
        <x:v>Metrics!A5:K16</x:v>
      </x:c>
      <x:c r="G6" s="24" t="str">
        <x:v>Giang Minh Phú</x:v>
      </x:c>
      <x:c r="H6" s="24" t="str">
        <x:v>ĐÃ SỬA</x:v>
      </x:c>
    </x:row>
    <x:row r="7" ht="78" customHeight="1">
      <x:c r="A7" s="26" t="n">
        <x:v>2</x:v>
      </x:c>
      <x:c r="B7" s="26" t="str">
        <x:v>Workflow</x:v>
      </x:c>
      <x:c r="C7" s="26" t="str">
        <x:v>Chưa rõ quyền cuối và cách xử lý ca phức tạp.</x:v>
      </x:c>
      <x:c r="D7" s="26" t="str">
        <x:v>Handoff chỉ ghi chung là chuyển người.</x:v>
      </x:c>
      <x:c r="E7" s="26" t="str">
        <x:v>Thêm taxonomy, confidence gate, SLA chuyển người và RACI.</x:v>
      </x:c>
      <x:c r="F7" s="26" t="str">
        <x:v>Workflow!F6:I18</x:v>
      </x:c>
      <x:c r="G7" s="26" t="str">
        <x:v>Trần Thị Kiều Oanh</x:v>
      </x:c>
      <x:c r="H7" s="26" t="str">
        <x:v>ĐÃ SỬA</x:v>
      </x:c>
    </x:row>
    <x:row r="8" ht="78" customHeight="1">
      <x:c r="A8" s="26" t="n">
        <x:v>3</x:v>
      </x:c>
      <x:c r="B8" s="26" t="str">
        <x:v>Roadmap</x:v>
      </x:c>
      <x:c r="C8" s="26" t="str">
        <x:v>30–60–90 chưa phải cổng quyết định.</x:v>
      </x:c>
      <x:c r="D8" s="26" t="str">
        <x:v>Thiếu tiêu chí qua cổng và phương án fail.</x:v>
      </x:c>
      <x:c r="E8" s="26" t="str">
        <x:v>Thêm evidence, gate criteria và hành động nếu không đạt.</x:v>
      </x:c>
      <x:c r="F8" s="26" t="str">
        <x:v>Roadmap 30-60-90!A5:H8</x:v>
      </x:c>
      <x:c r="G8" s="26" t="str">
        <x:v>Lê Thị Thuý</x:v>
      </x:c>
      <x:c r="H8" s="26" t="str">
        <x:v>ĐÃ SỬA</x:v>
      </x:c>
    </x:row>
    <x:row r="10">
      <x:c r="A10" s="11" t="str">
        <x:v>QUYẾT ĐỊNH CUỐI</x:v>
      </x:c>
      <x:c r="B10" s="11"/>
      <x:c r="C10" s="11"/>
      <x:c r="D10" s="11"/>
      <x:c r="E10" s="11"/>
      <x:c r="F10" s="11"/>
      <x:c r="G10" s="11"/>
      <x:c r="H10" s="11"/>
    </x:row>
    <x:row r="11" ht="44" customHeight="1">
      <x:c r="A11" s="70" t="str">
        <x:v>Quyết định</x:v>
      </x:c>
      <x:c r="B11" s="24" t="str">
        <x:v>SỬA — tiếp tục AI cho ca thường, tăng human-in-the-loop cho ca phức tạp</x:v>
      </x:c>
      <x:c r="C11" s="24"/>
      <x:c r="D11" s="24"/>
      <x:c r="E11" s="24"/>
      <x:c r="F11" s="24"/>
      <x:c r="G11" s="24"/>
      <x:c r="H11" s="24"/>
    </x:row>
    <x:row r="12" ht="44" customHeight="1">
      <x:c r="A12" s="71" t="str">
        <x:v>Lý do</x:v>
      </x:c>
      <x:c r="B12" s="26" t="str">
        <x:v>5/6 metric đạt nhưng quality-risk flag xấu; usage và cost không được lấn át chất lượng.</x:v>
      </x:c>
      <x:c r="C12" s="26"/>
      <x:c r="D12" s="26"/>
      <x:c r="E12" s="26"/>
      <x:c r="F12" s="26"/>
      <x:c r="G12" s="26"/>
      <x:c r="H12" s="26"/>
    </x:row>
    <x:row r="13" ht="44" customHeight="1">
      <x:c r="A13" s="71" t="str">
        <x:v>Bước tiếp theo</x:v>
      </x:c>
      <x:c r="B13" s="26" t="str">
        <x:v>Chuẩn hoá taxonomy, SLA chuyển người, QA mẫu phân tầng; chỉ scale khi quality flag về 0.</x:v>
      </x:c>
      <x:c r="C13" s="26"/>
      <x:c r="D13" s="26"/>
      <x:c r="E13" s="26"/>
      <x:c r="F13" s="26"/>
      <x:c r="G13" s="26"/>
      <x:c r="H13" s="26"/>
    </x:row>
  </x:sheetData>
  <x:mergeCells>
    <x:mergeCell ref="A1:H2"/>
    <x:mergeCell ref="A3:H3"/>
    <x:mergeCell ref="A10:H10"/>
    <x:mergeCell ref="B11:H11"/>
    <x:mergeCell ref="B12:H12"/>
    <x:mergeCell ref="B13:H13"/>
  </x:mergeCells>
  <x:pageMargins left="0.7" right="0.7" top="0.75" bottom="0.75" header="0.3" footer="0.3"/>
</x:worksheet>
</file>