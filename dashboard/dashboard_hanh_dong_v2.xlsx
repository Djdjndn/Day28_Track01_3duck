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91b7fea07c485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 quan" sheetId="1" r:id="R296d99230a9f4007"/>
    <x:sheet xmlns:r="http://schemas.openxmlformats.org/officeDocument/2006/relationships" name="Chan doan" sheetId="2" r:id="R623a79dcf3474e3a"/>
    <x:sheet xmlns:r="http://schemas.openxmlformats.org/officeDocument/2006/relationships" name="Workflow" sheetId="3" r:id="R45b73effb07b494b"/>
    <x:sheet xmlns:r="http://schemas.openxmlformats.org/officeDocument/2006/relationships" name="Roadmap 30-60-90" sheetId="4" r:id="R25d7fc5588c5467e"/>
    <x:sheet xmlns:r="http://schemas.openxmlformats.org/officeDocument/2006/relationships" name="Metrics" sheetId="5" r:id="R7320a69ab1834b25"/>
    <x:sheet xmlns:r="http://schemas.openxmlformats.org/officeDocument/2006/relationships" name="Phan bien" sheetId="6" r:id="R91d8b653714c44e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13D"/>
      <x:name val="Carlito"/>
    </x:font>
    <x:font>
      <x:b/>
      <x:sz val="11"/>
      <x:color rgb="FFFFFFFF"/>
      <x:name val="Carlito"/>
    </x:font>
    <x:font>
      <x:b/>
      <x:sz val="11"/>
      <x:color rgb="FF16324F"/>
      <x:name val="Carlito"/>
    </x:font>
    <x:font>
      <x:b/>
      <x:sz val="10"/>
      <x:color rgb="FF24313D"/>
      <x:name val="Carlito"/>
    </x:font>
    <x:font>
      <x:sz val="10"/>
      <x:color rgb="FF24313D"/>
      <x:name val="Carlito"/>
    </x:font>
    <x:font>
      <x:b/>
      <x:sz val="11"/>
      <x:color rgb="FF24313D"/>
      <x:name val="Carlito"/>
    </x:font>
    <x:font>
      <x:b/>
      <x:sz val="12"/>
      <x:color rgb="FF16324F"/>
      <x:name val="Carlito"/>
    </x:font>
    <x:font>
      <x:b/>
      <x:sz val="10"/>
      <x:color rgb="FF16324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F5F7FA"/>
      </x:patternFill>
    </x:fill>
    <x:fill>
      <x:patternFill patternType="solid">
        <x:fgColor rgb="FFFFF4CE"/>
      </x:patternFill>
    </x:fill>
    <x:fill>
      <x:patternFill patternType="solid">
        <x:fgColor rgb="FFDDF4EE"/>
      </x:patternFill>
    </x:fill>
    <x:fill>
      <x:patternFill patternType="solid">
        <x:fgColor rgb="FF2E7D5B"/>
      </x:patternFill>
    </x:fill>
  </x:fills>
  <x:borders count="12">
    <x:border/>
    <x:border>
      <x:bottom style="thin">
        <x:color rgb="FFD8E1E8"/>
      </x:bottom>
    </x:border>
    <x:border>
      <x:top style="thin">
        <x:color rgb="FFD8E1E8"/>
      </x:top>
      <x:bottom style="thin">
        <x:color rgb="FFD8E1E8"/>
      </x:bottom>
    </x:border>
    <x:border>
      <x:left style="medium">
        <x:color rgb="FFF4B942"/>
      </x:left>
      <x:top style="medium">
        <x:color rgb="FFF4B942"/>
      </x:top>
      <x:bottom style="medium">
        <x:color rgb="FFF4B942"/>
      </x:bottom>
    </x:border>
    <x:border>
      <x:top style="medium">
        <x:color rgb="FFF4B942"/>
      </x:top>
      <x:bottom style="medium">
        <x:color rgb="FFF4B942"/>
      </x:bottom>
    </x:border>
    <x:border>
      <x:right style="medium">
        <x:color rgb="FFF4B942"/>
      </x:right>
      <x:top style="medium">
        <x:color rgb="FFF4B942"/>
      </x:top>
      <x:bottom style="medium">
        <x:color rgb="FFF4B942"/>
      </x:bottom>
    </x:border>
    <x:border>
      <x:left style="thin">
        <x:color rgb="FF0F766E"/>
      </x:left>
      <x:top style="thin">
        <x:color rgb="FF0F766E"/>
      </x:top>
      <x:bottom style="thin">
        <x:color rgb="FF0F766E"/>
      </x:bottom>
    </x:border>
    <x:border>
      <x:top style="thin">
        <x:color rgb="FF0F766E"/>
      </x:top>
      <x:bottom style="thin">
        <x:color rgb="FF0F766E"/>
      </x:bottom>
    </x:border>
    <x:border>
      <x:right style="thin">
        <x:color rgb="FF0F766E"/>
      </x:right>
      <x:top style="thin">
        <x:color rgb="FF0F766E"/>
      </x:top>
      <x:bottom style="thin">
        <x:color rgb="FF0F766E"/>
      </x:bottom>
    </x:border>
    <x:border>
      <x:right style="thin">
        <x:color rgb="FFD8E1E8"/>
      </x:right>
    </x:border>
    <x:border>
      <x:left style="thin">
        <x:color rgb="FFD8E1E8"/>
      </x:left>
      <x:right style="thin">
        <x:color rgb="FFD8E1E8"/>
      </x:right>
    </x:border>
    <x:border>
      <x:left style="thin">
        <x:color rgb="FFD8E1E8"/>
      </x:left>
    </x:border>
  </x:borders>
  <x:cellStyleXfs count="1">
    <x:xf numFmtId="0" fontId="0" fillId="0" borderId="0"/>
  </x:cellStyleXfs>
  <x:cellXfs count="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6" fillId="0" borderId="2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" xfId="0" applyNumberFormat="1" applyFont="1" applyFill="1" applyBorder="1"/>
    <x:xf numFmtId="0" fontId="7" fillId="6" borderId="4" xfId="0" applyNumberFormat="1" applyFont="1" applyFill="1" applyBorder="1"/>
    <x:xf numFmtId="0" fontId="7" fillId="6" borderId="5" xfId="0" applyNumberFormat="1" applyFont="1" applyFill="1" applyBorder="1"/>
    <x:xf numFmtId="0" fontId="7" fillId="6" borderId="3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5" xfId="0" applyNumberFormat="1" applyFont="1" applyFill="1" applyBorder="1" applyAlignment="1">
      <x:alignment wrapText="1"/>
    </x:xf>
    <x:xf numFmtId="0" fontId="7" fillId="6" borderId="3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5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6" xfId="0" applyNumberFormat="1" applyFont="1" applyFill="1" applyBorder="1"/>
    <x:xf numFmtId="0" fontId="8" fillId="7" borderId="7" xfId="0" applyNumberFormat="1" applyFont="1" applyFill="1" applyBorder="1"/>
    <x:xf numFmtId="0" fontId="8" fillId="7" borderId="8" xfId="0" applyNumberFormat="1" applyFont="1" applyFill="1" applyBorder="1"/>
    <x:xf numFmtId="0" fontId="8" fillId="7" borderId="6" xfId="0" applyNumberFormat="1" applyFont="1" applyFill="1" applyBorder="1" applyAlignment="1">
      <x:alignment horizontal="center"/>
    </x:xf>
    <x:xf numFmtId="0" fontId="8" fillId="7" borderId="7" xfId="0" applyNumberFormat="1" applyFont="1" applyFill="1" applyBorder="1" applyAlignment="1">
      <x:alignment horizontal="center"/>
    </x:xf>
    <x:xf numFmtId="0" fontId="8" fillId="7" borderId="8" xfId="0" applyNumberFormat="1" applyFont="1" applyFill="1" applyBorder="1" applyAlignment="1">
      <x:alignment horizontal="center"/>
    </x:xf>
    <x:xf numFmtId="0" fontId="8" fillId="7" borderId="6" xfId="0" applyNumberFormat="1" applyFont="1" applyFill="1" applyBorder="1" applyAlignment="1">
      <x:alignment horizontal="center" vertical="center"/>
    </x:xf>
    <x:xf numFmtId="0" fontId="8" fillId="7" borderId="7" xfId="0" applyNumberFormat="1" applyFont="1" applyFill="1" applyBorder="1" applyAlignment="1">
      <x:alignment horizontal="center" vertical="center"/>
    </x:xf>
    <x:xf numFmtId="0" fontId="8" fillId="7" borderId="8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/>
    <x:xf numFmtId="0" fontId="3" fillId="2" borderId="9" xfId="0" applyNumberFormat="1" applyFont="1" applyFill="1" applyBorder="1"/>
    <x:xf numFmtId="0" fontId="3" fillId="2" borderId="10" xfId="0" applyNumberFormat="1" applyFont="1" applyFill="1" applyBorder="1"/>
    <x:xf numFmtId="0" fontId="3" fillId="2" borderId="11" xfId="0" applyNumberFormat="1" applyFont="1" applyFill="1" applyBorder="1"/>
    <x:xf numFmtId="0" fontId="3" fillId="2" borderId="9" xfId="0" applyNumberFormat="1" applyFont="1" applyFill="1" applyBorder="1" applyAlignment="1">
      <x:alignment wrapText="1"/>
    </x:xf>
    <x:xf numFmtId="0" fontId="3" fillId="2" borderId="10" xfId="0" applyNumberFormat="1" applyFont="1" applyFill="1" applyBorder="1" applyAlignment="1">
      <x:alignment wrapText="1"/>
    </x:xf>
    <x:xf numFmtId="0" fontId="3" fillId="2" borderId="11" xfId="0" applyNumberFormat="1" applyFont="1" applyFill="1" applyBorder="1" applyAlignment="1">
      <x:alignment wrapText="1"/>
    </x:xf>
    <x:xf numFmtId="0" fontId="3" fillId="2" borderId="9" xfId="0" applyNumberFormat="1" applyFont="1" applyFill="1" applyBorder="1" applyAlignment="1">
      <x:alignment vertical="center" wrapText="1"/>
    </x:xf>
    <x:xf numFmtId="0" fontId="3" fillId="2" borderId="10" xfId="0" applyNumberFormat="1" applyFont="1" applyFill="1" applyBorder="1" applyAlignment="1">
      <x:alignment vertical="center" wrapText="1"/>
    </x:xf>
    <x:xf numFmtId="0" fontId="3" fillId="2" borderId="1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top" wrapText="1"/>
    </x:xf>
    <x:xf numFmtId="0" fontId="6" fillId="6" borderId="2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vertical="top" wrapText="1"/>
    </x:xf>
    <x:xf numFmtId="200" fontId="5" fillId="6" borderId="2" xfId="0" applyNumberFormat="1" applyFont="1" applyFill="1" applyBorder="1" applyAlignment="1">
      <x:alignment vertical="top" wrapText="1"/>
    </x:xf>
    <x:xf numFmtId="200" fontId="5" fillId="6" borderId="1" xfId="0" applyNumberFormat="1" applyFont="1" applyFill="1" applyBorder="1" applyAlignment="1">
      <x:alignment horizontal="center" vertical="top" wrapText="1"/>
    </x:xf>
    <x:xf numFmtId="200" fontId="5" fillId="6" borderId="2" xfId="0" applyNumberFormat="1" applyFont="1" applyFill="1" applyBorder="1" applyAlignment="1">
      <x:alignment horizontal="center" vertical="top" wrapText="1"/>
    </x:xf>
    <x:xf numFmtId="200" fontId="6" fillId="0" borderId="1" xfId="0" applyNumberFormat="1" applyFont="1" applyFill="1" applyBorder="1" applyAlignment="1">
      <x:alignment vertical="top" wrapText="1"/>
    </x:xf>
    <x:xf numFmtId="200" fontId="6" fillId="0" borderId="2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9" fillId="6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2E7D5B"/>
      </x:font>
      <x:fill>
        <x:patternFill patternType="solid">
          <x:bgColor rgb="FFE4F3EA"/>
        </x:patternFill>
      </x:fill>
    </x:dxf>
    <x:dxf>
      <x:font>
        <x:b/>
        <x:color rgb="FFC94747"/>
      </x:font>
      <x:fill>
        <x:patternFill patternType="solid">
          <x:bgColor rgb="FFFDE8E7"/>
        </x:patternFill>
      </x:fill>
    </x:dxf>
    <x:dxf>
      <x:font>
        <x:b/>
        <x:color rgb="FF24313D"/>
      </x:font>
      <x:fill>
        <x:patternFill patternType="solid">
          <x:bgColor rgb="FFFFF4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7a49ce57846f2" /><Relationship Type="http://schemas.openxmlformats.org/officeDocument/2006/relationships/theme" Target="/xl/theme/theme1.xml" Id="R45bde7cf54274678" /><Relationship Type="http://schemas.openxmlformats.org/officeDocument/2006/relationships/sharedStrings" Target="/xl/sharedStrings.xml" Id="R31e898fa64374faa" /><Relationship Type="http://schemas.openxmlformats.org/officeDocument/2006/relationships/worksheet" Target="/xl/worksheets/sheet1.xml" Id="R296d99230a9f4007" /><Relationship Type="http://schemas.openxmlformats.org/officeDocument/2006/relationships/worksheet" Target="/xl/worksheets/sheet2.xml" Id="R623a79dcf3474e3a" /><Relationship Type="http://schemas.openxmlformats.org/officeDocument/2006/relationships/worksheet" Target="/xl/worksheets/sheet3.xml" Id="R45b73effb07b494b" /><Relationship Type="http://schemas.openxmlformats.org/officeDocument/2006/relationships/worksheet" Target="/xl/worksheets/sheet4.xml" Id="R25d7fc5588c5467e" /><Relationship Type="http://schemas.openxmlformats.org/officeDocument/2006/relationships/worksheet" Target="/xl/worksheets/sheet5.xml" Id="R7320a69ab1834b25" /><Relationship Type="http://schemas.openxmlformats.org/officeDocument/2006/relationships/worksheet" Target="/xl/worksheets/sheet6.xml" Id="R91d8b653714c44e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2" hidden="0" customWidth="1"/>
    <x:col min="8" max="8" width="16" hidden="0" customWidth="1"/>
    <x:col min="9" max="9" width="12" hidden="0" customWidth="1"/>
    <x:col min="10" max="10" width="12" hidden="0" customWidth="1"/>
  </x:cols>
  <x:sheetData>
    <x:row r="1" ht="28" customHeight="1">
      <x:c r="A1" s="4" t="str">
        <x:v>DASHBOARD HÀNH ĐỘNG CHO ÁP DỤNG AI — V2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34" customHeight="1">
      <x:c r="A3" s="8" t="str">
        <x:v>Case lớp: Trợ lý AI tra cứu tài liệu nội bộ | Bản hoàn thiện sau kiểm tra chéo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>
      <x:c r="A5" s="11" t="str">
        <x:v>01  PHẠM VI ĐÃ KHOÁ</x:v>
      </x:c>
      <x:c r="B5" s="11"/>
      <x:c r="C5" s="11"/>
      <x:c r="D5" s="11"/>
      <x:c r="E5" s="11"/>
      <x:c r="F5" s="11"/>
      <x:c r="G5" s="11"/>
      <x:c r="H5" s="11"/>
      <x:c r="I5" s="11"/>
      <x:c r="J5" s="11"/>
    </x:row>
    <x:row r="6" ht="30" customHeight="1">
      <x:c r="A6" s="23" t="str">
        <x:v>Sản phẩm AI</x:v>
      </x:c>
      <x:c r="B6" s="24" t="str">
        <x:v>Trợ lý AI tra cứu tài liệu nội bộ</x:v>
      </x:c>
      <x:c r="C6" s="24"/>
      <x:c r="D6" s="24"/>
      <x:c r="E6" s="24"/>
      <x:c r="F6" s="24"/>
      <x:c r="G6" s="24"/>
      <x:c r="H6" s="24"/>
      <x:c r="I6" s="24"/>
      <x:c r="J6" s="24"/>
    </x:row>
    <x:row r="7" ht="30" customHeight="1">
      <x:c r="A7" s="25" t="str">
        <x:v>Người dùng chính</x:v>
      </x:c>
      <x:c r="B7" s="26" t="str">
        <x:v>Nhân viên vận hành</x:v>
      </x:c>
      <x:c r="C7" s="26"/>
      <x:c r="D7" s="26"/>
      <x:c r="E7" s="26"/>
      <x:c r="F7" s="26"/>
      <x:c r="G7" s="26"/>
      <x:c r="H7" s="26"/>
      <x:c r="I7" s="26"/>
      <x:c r="J7" s="26"/>
    </x:row>
    <x:row r="8" ht="30" customHeight="1">
      <x:c r="A8" s="25" t="str">
        <x:v>Quy trình</x:v>
      </x:c>
      <x:c r="B8" s="26" t="str">
        <x:v>Tìm tài liệu; tóm tắt; kiểm chứng; sử dụng / báo lỗi</x:v>
      </x:c>
      <x:c r="C8" s="26"/>
      <x:c r="D8" s="26"/>
      <x:c r="E8" s="26"/>
      <x:c r="F8" s="26"/>
      <x:c r="G8" s="26"/>
      <x:c r="H8" s="26"/>
      <x:c r="I8" s="26"/>
      <x:c r="J8" s="26"/>
    </x:row>
    <x:row r="9" ht="30" customHeight="1">
      <x:c r="A9" s="25" t="str">
        <x:v>Vấn đề quan sát</x:v>
      </x:c>
      <x:c r="B9" s="26" t="str">
        <x:v>Công cụ đã triển khai nhưng người dùng quay lại tìm file hoặc hỏi đồng nghiệp; câu trả lời thiếu nguồn và ngày cập nhật.</x:v>
      </x:c>
      <x:c r="C9" s="26"/>
      <x:c r="D9" s="26"/>
      <x:c r="E9" s="26"/>
      <x:c r="F9" s="26"/>
      <x:c r="G9" s="26"/>
      <x:c r="H9" s="26"/>
      <x:c r="I9" s="26"/>
      <x:c r="J9" s="26"/>
    </x:row>
    <x:row r="11">
      <x:c r="A11" s="11" t="str">
        <x:v>02  TÌNH TRẠNG &amp; QUYẾT ĐỊNH</x:v>
      </x:c>
      <x:c r="B11" s="11"/>
      <x:c r="C11" s="11"/>
      <x:c r="D11" s="11"/>
      <x:c r="E11" s="11"/>
      <x:c r="F11" s="11"/>
      <x:c r="G11" s="11"/>
      <x:c r="H11" s="11"/>
      <x:c r="I11" s="11"/>
      <x:c r="J11" s="11"/>
    </x:row>
    <x:row r="12" ht="42" customHeight="1">
      <x:c r="A12" s="35" t="str">
        <x:v>QUYẾT ĐỊNH</x:v>
      </x:c>
      <x:c r="B12" s="36"/>
      <x:c r="C12" s="36" t="str">
        <x:f>IF(COUNTIF('Metrics'!$I$6:$I$11,"XẤU")&gt;0,"SỬA",IF(COUNTIF('Metrics'!$I$6:$I$11,"CHƯA ĐO")&gt;0,"SỬA — ĐO PILOT","TIẾP TỤC"))</x:f>
        <x:v>SỬA — ĐO PILOT</x:v>
      </x:c>
      <x:c r="D12" s="36"/>
      <x:c r="E12" s="36"/>
      <x:c r="F12" s="36" t="str">
        <x:v>Nguyên nhân gốc</x:v>
      </x:c>
      <x:c r="G12" s="36"/>
      <x:c r="H12" s="36" t="str">
        <x:v>Workflow chưa chính thức + kiến trúc tin cậy còn thiếu</x:v>
      </x:c>
      <x:c r="I12" s="36"/>
      <x:c r="J12" s="37"/>
    </x:row>
    <x:row r="14" ht="32" customHeight="1">
      <x:c r="A14" s="46" t="str">
        <x:v>Metric đạt</x:v>
      </x:c>
      <x:c r="B14" s="47"/>
      <x:c r="C14" s="47" t="n">
        <x:f>COUNTIF('Metrics'!$I$6:$I$11,"ĐẠT")</x:f>
        <x:v>0</x:v>
      </x:c>
      <x:c r="D14" s="47"/>
      <x:c r="E14" s="47" t="str">
        <x:v>Metric xấu</x:v>
      </x:c>
      <x:c r="F14" s="47"/>
      <x:c r="G14" s="47" t="n">
        <x:f>COUNTIF('Metrics'!$I$6:$I$11,"XẤU")</x:f>
        <x:v>0</x:v>
      </x:c>
      <x:c r="H14" s="47"/>
      <x:c r="I14" s="47" t="str">
        <x:v>Chưa đo</x:v>
      </x:c>
      <x:c r="J14" s="48" t="n">
        <x:f>COUNTIF('Metrics'!$I$6:$I$11,"CHƯA ĐO")</x:f>
        <x:v>6</x:v>
      </x:c>
    </x:row>
    <x:row r="16">
      <x:c r="A16" s="11" t="str">
        <x:v>03  ĐIỀU KIỆN RA QUYẾT ĐỊNH Ở NGÀY 90</x:v>
      </x:c>
      <x:c r="B16" s="11"/>
      <x:c r="C16" s="11"/>
      <x:c r="D16" s="11"/>
      <x:c r="E16" s="11"/>
      <x:c r="F16" s="11"/>
      <x:c r="G16" s="11"/>
      <x:c r="H16" s="11"/>
      <x:c r="I16" s="11"/>
      <x:c r="J16" s="11"/>
    </x:row>
    <x:row r="17" ht="38" customHeight="1">
      <x:c r="A17" s="23" t="str">
        <x:v>TIẾP TỤC / MỞ RỘNG</x:v>
      </x:c>
      <x:c r="B17" s="24" t="str">
        <x:v>Tất cả metric bắt buộc đạt; 0 sự cố quyền truy cập; owner vận hành và data owner đã nhận trách nhiệm</x:v>
      </x:c>
      <x:c r="C17" s="24"/>
      <x:c r="D17" s="24"/>
      <x:c r="E17" s="24"/>
      <x:c r="F17" s="24"/>
      <x:c r="G17" s="24"/>
      <x:c r="H17" s="24"/>
      <x:c r="I17" s="24"/>
      <x:c r="J17" s="24"/>
    </x:row>
    <x:row r="18" ht="38" customHeight="1">
      <x:c r="A18" s="25" t="str">
        <x:v>SỬA</x:v>
      </x:c>
      <x:c r="B18" s="26" t="str">
        <x:v>Có metric chất lượng/hành vi dưới mục tiêu nhưng rủi ro còn kiểm soát được; quay lại sửa nguồn, handoff hoặc hướng dẫn tại workflow</x:v>
      </x:c>
      <x:c r="C18" s="26"/>
      <x:c r="D18" s="26"/>
      <x:c r="E18" s="26"/>
      <x:c r="F18" s="26"/>
      <x:c r="G18" s="26"/>
      <x:c r="H18" s="26"/>
      <x:c r="I18" s="26"/>
      <x:c r="J18" s="26"/>
    </x:row>
    <x:row r="19" ht="38" customHeight="1">
      <x:c r="A19" s="25" t="str">
        <x:v>DỪNG</x:v>
      </x:c>
      <x:c r="B19" s="26" t="str">
        <x:v>Có sự cố truy cập nghiêm trọng, không xác lập được nguồn đáng tin hoặc lợi ích workflow không xuất hiện sau hai vòng sửa</x:v>
      </x:c>
      <x:c r="C19" s="26"/>
      <x:c r="D19" s="26"/>
      <x:c r="E19" s="26"/>
      <x:c r="F19" s="26"/>
      <x:c r="G19" s="26"/>
      <x:c r="H19" s="26"/>
      <x:c r="I19" s="26"/>
      <x:c r="J19" s="26"/>
    </x:row>
    <x:row r="20" ht="38" customHeight="1">
      <x:c r="A20" s="25" t="str">
        <x:v>BƯỚC TIẾP THEO</x:v>
      </x:c>
      <x:c r="B20" s="26" t="str">
        <x:v>Pilot 20–30 nhân viên vận hành; đo baseline tuần 1; bật trích nguồn và QA mẫu trước khi xem xét mở rộng</x:v>
      </x:c>
      <x:c r="C20" s="26"/>
      <x:c r="D20" s="26"/>
      <x:c r="E20" s="26"/>
      <x:c r="F20" s="26"/>
      <x:c r="G20" s="26"/>
      <x:c r="H20" s="26"/>
      <x:c r="I20" s="26"/>
      <x:c r="J20" s="26"/>
    </x:row>
  </x:sheetData>
  <x:mergeCells>
    <x:mergeCell ref="A1:J2"/>
    <x:mergeCell ref="A3:J3"/>
    <x:mergeCell ref="A5:J5"/>
    <x:mergeCell ref="B6:J6"/>
    <x:mergeCell ref="B7:J7"/>
    <x:mergeCell ref="B8:J8"/>
    <x:mergeCell ref="B9:J9"/>
    <x:mergeCell ref="A11:J11"/>
    <x:mergeCell ref="A12:B12"/>
    <x:mergeCell ref="C12:E12"/>
    <x:mergeCell ref="F12:G12"/>
    <x:mergeCell ref="H12:J12"/>
    <x:mergeCell ref="A14:B14"/>
    <x:mergeCell ref="C14:D14"/>
    <x:mergeCell ref="E14:F14"/>
    <x:mergeCell ref="G14:H14"/>
    <x:mergeCell ref="A16:J16"/>
    <x:mergeCell ref="B17:J17"/>
    <x:mergeCell ref="B18:J18"/>
    <x:mergeCell ref="B19:J19"/>
    <x:mergeCell ref="B20:J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4" hidden="0" customWidth="1"/>
    <x:col min="4" max="4" width="30" hidden="0" customWidth="1"/>
    <x:col min="5" max="5" width="14" hidden="0" customWidth="1"/>
    <x:col min="6" max="6" width="18" hidden="0" customWidth="1"/>
    <x:col min="7" max="7" width="34" hidden="0" customWidth="1"/>
    <x:col min="8" max="8" width="30" hidden="0" customWidth="1"/>
  </x:cols>
  <x:sheetData>
    <x:row r="1" ht="28" customHeight="1">
      <x:c r="A1" s="4" t="str">
        <x:v>CHẨN ĐOÁN NGUYÊN NHÂN GỐC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Dùng framework đúng chỗ; phân biệt triệu chứng với nguyên nhân và chỉ ghi bằng chứng có thể kiểm tra.</x:v>
      </x:c>
      <x:c r="B3" s="8"/>
      <x:c r="C3" s="8"/>
      <x:c r="D3" s="8"/>
      <x:c r="E3" s="8"/>
      <x:c r="F3" s="8"/>
      <x:c r="G3" s="8"/>
      <x:c r="H3" s="8"/>
    </x:row>
    <x:row r="5">
      <x:c r="A5" s="11" t="str">
        <x:v>NĂM CÂU HỎI CHẨN ĐOÁN</x:v>
      </x:c>
      <x:c r="B5" s="11"/>
      <x:c r="C5" s="11"/>
      <x:c r="D5" s="11"/>
      <x:c r="E5" s="11"/>
      <x:c r="F5" s="11"/>
      <x:c r="G5" s="11"/>
      <x:c r="H5" s="11"/>
    </x:row>
    <x:row r="6">
      <x:c r="A6" s="56" t="str">
        <x:v>#</x:v>
      </x:c>
      <x:c r="B6" s="57" t="str">
        <x:v>Trục</x:v>
      </x:c>
      <x:c r="C6" s="57" t="str">
        <x:v>Câu hỏi</x:v>
      </x:c>
      <x:c r="D6" s="57" t="str">
        <x:v>Nhận định</x:v>
      </x:c>
      <x:c r="E6" s="57" t="str">
        <x:v>Mức</x:v>
      </x:c>
      <x:c r="F6" s="57" t="str">
        <x:v>Framework</x:v>
      </x:c>
      <x:c r="G6" s="57" t="str">
        <x:v>Bằng chứng</x:v>
      </x:c>
      <x:c r="H6" s="58" t="str">
        <x:v>Hàm ý hành động</x:v>
      </x:c>
    </x:row>
    <x:row r="7" ht="62" customHeight="1">
      <x:c r="A7" s="24" t="n">
        <x:v>1</x:v>
      </x:c>
      <x:c r="B7" s="24" t="str">
        <x:v>Workflow</x:v>
      </x:c>
      <x:c r="C7" s="24" t="str">
        <x:v>AI có nằm trong công việc thật không?</x:v>
      </x:c>
      <x:c r="D7" s="24" t="str">
        <x:v>Chưa có bước chính thức, handoff và người chịu trách nhiệm cuối.</x:v>
      </x:c>
      <x:c r="E7" s="24" t="str">
        <x:v>GỐC</x:v>
      </x:c>
      <x:c r="F7" s="24" t="str">
        <x:v>Mollick</x:v>
      </x:c>
      <x:c r="G7" s="24" t="str">
        <x:v>[Brief case Lab] Người dùng quay lại tìm file hoặc hỏi đồng nghiệp thay vì dùng công cụ.</x:v>
      </x:c>
      <x:c r="H7" s="24" t="str">
        <x:v>Thiết kế TO-BE và RACI tại từng bước.</x:v>
      </x:c>
    </x:row>
    <x:row r="8" ht="62" customHeight="1">
      <x:c r="A8" s="26" t="n">
        <x:v>2</x:v>
      </x:c>
      <x:c r="B8" s="26" t="str">
        <x:v>Con người</x:v>
      </x:c>
      <x:c r="C8" s="26" t="str">
        <x:v>Kẹt ở động lực, kiến thức hay khả năng?</x:v>
      </x:c>
      <x:c r="D8" s="26" t="str">
        <x:v>Ngại tin vì không thấy nguồn; chưa biết khi nào dùng / không dùng.</x:v>
      </x:c>
      <x:c r="E8" s="26" t="str">
        <x:v>LIÊN QUAN</x:v>
      </x:c>
      <x:c r="F8" s="26" t="str">
        <x:v>ADKAR</x:v>
      </x:c>
      <x:c r="G8" s="26" t="str">
        <x:v>[Brief case Lab] Câu trả lời không kèm nguồn và ngày cập nhật nên người dùng không dám tin.</x:v>
      </x:c>
      <x:c r="H8" s="26" t="str">
        <x:v>Hướng dẫn tại workflow + hỗ trợ thực hành.</x:v>
      </x:c>
    </x:row>
    <x:row r="9" ht="62" customHeight="1">
      <x:c r="A9" s="26" t="n">
        <x:v>3</x:v>
      </x:c>
      <x:c r="B9" s="26" t="str">
        <x:v>Sẵn sàng</x:v>
      </x:c>
      <x:c r="C9" s="26" t="str">
        <x:v>Dữ liệu, quyền và governance đã đủ chưa?</x:v>
      </x:c>
      <x:c r="D9" s="26" t="str">
        <x:v>Nguồn thiếu data owner, lịch cập nhật và quy tắc quyền rõ ràng.</x:v>
      </x:c>
      <x:c r="E9" s="26" t="str">
        <x:v>GỐC</x:v>
      </x:c>
      <x:c r="F9" s="26" t="str">
        <x:v>Gartner-Lite</x:v>
      </x:c>
      <x:c r="G9" s="26" t="str">
        <x:v>[Brief case Lab + AS-IS v1] Khó xác định bản tài liệu mới nhất. [Chưa kiểm chứng] Thiếu data owner / lịch cập nhật / ACL — xác nhận ở tuần 1.</x:v>
      </x:c>
      <x:c r="H9" s="26" t="str">
        <x:v>Khoá nguồn, data owner, lịch rà soát và ACL.</x:v>
      </x:c>
    </x:row>
    <x:row r="10" ht="62" customHeight="1">
      <x:c r="A10" s="26" t="n">
        <x:v>4</x:v>
      </x:c>
      <x:c r="B10" s="26" t="str">
        <x:v>Tin cậy</x:v>
      </x:c>
      <x:c r="C10" s="26" t="str">
        <x:v>AI sai thì phát hiện và xử lý thế nào?</x:v>
      </x:c>
      <x:c r="D10" s="26" t="str">
        <x:v>Thiếu trích nguồn, QA mẫu, ngưỡng không chắc và chuyển người.</x:v>
      </x:c>
      <x:c r="E10" s="26" t="str">
        <x:v>GỐC</x:v>
      </x:c>
      <x:c r="F10" s="26" t="str">
        <x:v>Kiến trúc tin cậy</x:v>
      </x:c>
      <x:c r="G10" s="26" t="str">
        <x:v>[Brief case Lab] Không có bước QA, ngưỡng "không chắc" hay đường chuyển SME khi AI trả lời sai.</x:v>
      </x:c>
      <x:c r="H10" s="26" t="str">
        <x:v>Nguồn → trích nguồn → QA → chuyển người → phản hồi.</x:v>
      </x:c>
    </x:row>
    <x:row r="11" ht="62" customHeight="1">
      <x:c r="A11" s="26" t="n">
        <x:v>5</x:v>
      </x:c>
      <x:c r="B11" s="26" t="str">
        <x:v>Đo lường</x:v>
      </x:c>
      <x:c r="C11" s="26" t="str">
        <x:v>Đang đo activity hay giá trị?</x:v>
      </x:c>
      <x:c r="D11" s="26" t="str">
        <x:v>Dashboard chỉ đếm login và số câu hỏi.</x:v>
      </x:c>
      <x:c r="E11" s="26" t="str">
        <x:v>LIÊN QUAN</x:v>
      </x:c>
      <x:c r="F11" s="26" t="str">
        <x:v>5 tầng đo lường</x:v>
      </x:c>
      <x:c r="G11" s="26" t="str">
        <x:v>[Dashboard v1, sheet "Metrics v1"] 4 chỉ số đều là activity hoặc tự khai: login, số câu hỏi, thời gian tự khai.</x:v>
      </x:c>
      <x:c r="H11" s="26" t="str">
        <x:v>Đo chất lượng, thời gian, làm lại và kết quả workflow.</x:v>
      </x:c>
    </x:row>
    <x:row r="13">
      <x:c r="A13" s="11" t="str">
        <x:v>KẾT LUẬN GARTNER-LITE / ADKAR</x:v>
      </x:c>
      <x:c r="B13" s="11"/>
      <x:c r="C13" s="11"/>
      <x:c r="D13" s="11"/>
      <x:c r="E13" s="11"/>
      <x:c r="F13" s="11"/>
      <x:c r="G13" s="11"/>
      <x:c r="H13" s="11"/>
    </x:row>
    <x:row r="14" ht="42" customHeight="1">
      <x:c r="A14" s="56" t="str">
        <x:v>Gartner-Lite</x:v>
      </x:c>
      <x:c r="B14" s="57" t="str">
        <x:v>Nhận định</x:v>
      </x:c>
      <x:c r="C14" s="57" t="str">
        <x:v>Kết quả</x:v>
      </x:c>
      <x:c r="D14" s="58" t="str">
        <x:v>Quyết định</x:v>
      </x:c>
      <x:c r="E14" s="56" t="str">
        <x:v>ADKAR</x:v>
      </x:c>
      <x:c r="F14" s="57" t="str">
        <x:v>Trạng thái</x:v>
      </x:c>
      <x:c r="G14" s="57" t="str">
        <x:v>Can thiệp</x:v>
      </x:c>
      <x:c r="H14" s="58" t="str">
        <x:v>Chỉ báo</x:v>
      </x:c>
    </x:row>
    <x:row r="15" ht="42" customHeight="1">
      <x:c r="A15" s="24" t="str">
        <x:v>Direction</x:v>
      </x:c>
      <x:c r="B15" s="24" t="str">
        <x:v>Mục tiêu và nhóm người dùng đã rõ.</x:v>
      </x:c>
      <x:c r="C15" s="24" t="str">
        <x:v>ĐẠT</x:v>
      </x:c>
      <x:c r="D15" s="24" t="str">
        <x:v>Giữ phạm vi pilot hẹp.</x:v>
      </x:c>
      <x:c r="E15" s="24" t="str">
        <x:v>Awareness</x:v>
      </x:c>
      <x:c r="F15" s="24" t="str">
        <x:v>NGHẼN</x:v>
      </x:c>
      <x:c r="G15" s="24" t="str">
        <x:v>Định nghĩa loại câu hỏi nên / không nên dùng AI.</x:v>
      </x:c>
      <x:c r="H15" s="24" t="str">
        <x:v>Tỷ lệ chọn đúng workflow</x:v>
      </x:c>
    </x:row>
    <x:row r="16" ht="42" customHeight="1">
      <x:c r="A16" s="26" t="str">
        <x:v>Readiness</x:v>
      </x:c>
      <x:c r="B16" s="26" t="str">
        <x:v>Data owner, lịch cập nhật, ACL và governance chưa đủ.</x:v>
      </x:c>
      <x:c r="C16" s="26" t="str">
        <x:v>THIẾU</x:v>
      </x:c>
      <x:c r="D16" s="26" t="str">
        <x:v>Chưa rollout rộng.</x:v>
      </x:c>
      <x:c r="E16" s="26" t="str">
        <x:v>Desire</x:v>
      </x:c>
      <x:c r="F16" s="26" t="str">
        <x:v>NGHẼN</x:v>
      </x:c>
      <x:c r="G16" s="26" t="str">
        <x:v>Hiển thị nguồn và ngày cập nhật.</x:v>
      </x:c>
      <x:c r="H16" s="26" t="str">
        <x:v>Tỷ lệ quay lại theo workflow</x:v>
      </x:c>
    </x:row>
    <x:row r="17" ht="42" customHeight="1">
      <x:c r="A17" s="26" t="str">
        <x:v>Absorption</x:v>
      </x:c>
      <x:c r="B17" s="26" t="str">
        <x:v>Chưa có owner chất lượng và vòng phản hồi lỗi.</x:v>
      </x:c>
      <x:c r="C17" s="26" t="str">
        <x:v>THIẾU</x:v>
      </x:c>
      <x:c r="D17" s="26" t="str">
        <x:v>Bổ sung vận hành trước scale.</x:v>
      </x:c>
      <x:c r="E17" s="26" t="str">
        <x:v>Knowledge</x:v>
      </x:c>
      <x:c r="F17" s="26" t="str">
        <x:v>CẦN LÀM</x:v>
      </x:c>
      <x:c r="G17" s="26" t="str">
        <x:v>Checklist hỏi và kiểm chứng.</x:v>
      </x:c>
      <x:c r="H17" s="26" t="str">
        <x:v>Tỷ lệ kiểm nguồn</x:v>
      </x:c>
    </x:row>
    <x:row r="18" ht="42" customHeight="1">
      <x:c r="A18" s="26" t="str">
        <x:v>Kết luận</x:v>
      </x:c>
      <x:c r="B18" s="26" t="str">
        <x:v>Pilot nhỏ để sửa readiness và absorption.</x:v>
      </x:c>
      <x:c r="C18" s="26" t="str">
        <x:v>SỬA</x:v>
      </x:c>
      <x:c r="D18" s="26" t="str">
        <x:v>Đánh giá lại tại gate ngày 60.</x:v>
      </x:c>
      <x:c r="E18" s="26" t="str">
        <x:v>Ability</x:v>
      </x:c>
      <x:c r="F18" s="26" t="str">
        <x:v>CẦN LÀM</x:v>
      </x:c>
      <x:c r="G18" s="26" t="str">
        <x:v>Office hour + champion trong pilot.</x:v>
      </x:c>
      <x:c r="H18" s="26" t="str">
        <x:v>Tỷ lệ hoàn thành không cần làm lại</x:v>
      </x:c>
    </x:row>
    <x:row r="19" ht="42" customHeight="1">
      <x:c r="A19" s="26" t="str">
        <x:v>Nguồn tham khảo</x:v>
      </x:c>
      <x:c r="B19" s="26" t="str">
        <x:v>NIST AI RMF: https://airc.nist.gov/RMF — bằng chứng hiện có là brief case Lab + dashboard v1; số định lượng đo ở tuần 1 pilot.</x:v>
      </x:c>
      <x:c r="C19" s="26" t="str">
        <x:v>Case tham khảo</x:v>
      </x:c>
      <x:c r="D19" s="26" t="str">
        <x:v>Morgan Stanley — bài học: độ tin cậy và đánh giá đi trước mở rộng.</x:v>
      </x:c>
      <x:c r="E19" s="26" t="str">
        <x:v>Reinforcement</x:v>
      </x:c>
      <x:c r="F19" s="26" t="str">
        <x:v>CẦN LÀM</x:v>
      </x:c>
      <x:c r="G19" s="26" t="str">
        <x:v>Phản hồi lỗi + review hàng tuần.</x:v>
      </x:c>
      <x:c r="H19" s="26" t="str">
        <x:v>Tỷ lệ lỗi lặp lại</x:v>
      </x:c>
    </x:row>
    <x:row r="20" ht="42" customHeight="1">
      <x:c r="E20" s="26" t="str">
        <x:v>Kết luận</x:v>
      </x:c>
      <x:c r="F20" s="26" t="str">
        <x:v>Training không đủ</x:v>
      </x:c>
      <x:c r="G20" s="26" t="str">
        <x:v>Sửa tin cậy và workflow trước.</x:v>
      </x:c>
      <x:c r="H20" s="26" t="str">
        <x:v>Đo hành vi + chất lượng</x:v>
      </x:c>
    </x:row>
  </x:sheetData>
  <x:mergeCells>
    <x:mergeCell ref="A1:H2"/>
    <x:mergeCell ref="A3:H3"/>
    <x:mergeCell ref="A5:H5"/>
    <x:mergeCell ref="A13:H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5" hidden="0" customWidth="1"/>
    <x:col min="4" max="4" width="18" hidden="0" customWidth="1"/>
    <x:col min="5" max="5" width="18" hidden="0" customWidth="1"/>
    <x:col min="6" max="6" width="14" hidden="0" customWidth="1"/>
    <x:col min="7" max="7" width="30" hidden="0" customWidth="1"/>
    <x:col min="8" max="8" width="32" hidden="0" customWidth="1"/>
    <x:col min="9" max="9" width="24" hidden="0" customWidth="1"/>
  </x:cols>
  <x:sheetData>
    <x:row r="1" ht="28" customHeight="1">
      <x:c r="A1" s="4" t="str">
        <x:v>THIẾT KẾ LẠI WORKFLOW</x:v>
      </x:c>
      <x:c r="B1" s="4"/>
      <x:c r="C1" s="4"/>
      <x:c r="D1" s="4"/>
      <x:c r="E1" s="4"/>
      <x:c r="F1" s="4"/>
      <x:c r="G1" s="4"/>
      <x:c r="H1" s="4"/>
      <x:c r="I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34" customHeight="1">
      <x:c r="A3" s="8" t="str">
        <x:v>Ba thay đổi bắt buộc: nguồn kiểm chứng · người chịu trách nhiệm · xử lý khi AI không chắc chắn.</x:v>
      </x:c>
      <x:c r="B3" s="8"/>
      <x:c r="C3" s="8"/>
      <x:c r="D3" s="8"/>
      <x:c r="E3" s="8"/>
      <x:c r="F3" s="8"/>
      <x:c r="G3" s="8"/>
      <x:c r="H3" s="8"/>
      <x:c r="I3" s="8"/>
    </x:row>
    <x:row r="5">
      <x:c r="A5" s="11" t="str">
        <x:v>AS-IS</x:v>
      </x:c>
      <x:c r="B5" s="11"/>
      <x:c r="C5" s="11"/>
      <x:c r="D5" s="11"/>
      <x:c r="F5" s="61" t="str">
        <x:v>TO-BE</x:v>
      </x:c>
      <x:c r="G5" s="61"/>
      <x:c r="H5" s="61"/>
      <x:c r="I5" s="61"/>
    </x:row>
    <x:row r="6">
      <x:c r="A6" s="56" t="str">
        <x:v>Bước</x:v>
      </x:c>
      <x:c r="B6" s="57" t="str">
        <x:v>Thực hiện</x:v>
      </x:c>
      <x:c r="C6" s="57" t="str">
        <x:v>Điểm đau</x:v>
      </x:c>
      <x:c r="D6" s="58" t="str">
        <x:v>Owner</x:v>
      </x:c>
      <x:c r="F6" s="56" t="str">
        <x:v>Bước</x:v>
      </x:c>
      <x:c r="G6" s="57" t="str">
        <x:v>Thực hiện</x:v>
      </x:c>
      <x:c r="H6" s="57" t="str">
        <x:v>Kiểm soát / handoff</x:v>
      </x:c>
      <x:c r="I6" s="58" t="str">
        <x:v>RACI / Owner</x:v>
      </x:c>
    </x:row>
    <x:row r="7" ht="46" customHeight="1">
      <x:c r="A7" s="24" t="n">
        <x:v>1</x:v>
      </x:c>
      <x:c r="B7" s="24" t="str">
        <x:v>Tìm file ở nhiều thư mục</x:v>
      </x:c>
      <x:c r="C7" s="24" t="str">
        <x:v>Mất thời gian; khó biết bản mới nhất</x:v>
      </x:c>
      <x:c r="D7" s="24" t="str">
        <x:v>Nhân viên</x:v>
      </x:c>
      <x:c r="F7" s="24" t="n">
        <x:v>1</x:v>
      </x:c>
      <x:c r="G7" s="24" t="str">
        <x:v>Đặt câu hỏi theo mẫu</x:v>
      </x:c>
      <x:c r="H7" s="24" t="str">
        <x:v>Chỉ dùng cho phạm vi đã công bố</x:v>
      </x:c>
      <x:c r="I7" s="24" t="str">
        <x:v>Nhân viên vận hành (R)</x:v>
      </x:c>
    </x:row>
    <x:row r="8" ht="46" customHeight="1">
      <x:c r="A8" s="26" t="n">
        <x:v>2</x:v>
      </x:c>
      <x:c r="B8" s="26" t="str">
        <x:v>Hỏi đồng nghiệp</x:v>
      </x:c>
      <x:c r="C8" s="26" t="str">
        <x:v>Phụ thuộc kinh nghiệm cá nhân</x:v>
      </x:c>
      <x:c r="D8" s="26" t="str">
        <x:v>Không rõ</x:v>
      </x:c>
      <x:c r="F8" s="26" t="n">
        <x:v>2</x:v>
      </x:c>
      <x:c r="G8" s="26" t="str">
        <x:v>AI tìm và tóm tắt</x:v>
      </x:c>
      <x:c r="H8" s="26" t="str">
        <x:v>Chỉ truy xuất nguồn đã duyệt</x:v>
      </x:c>
      <x:c r="I8" s="26" t="str">
        <x:v>AI hỗ trợ</x:v>
      </x:c>
    </x:row>
    <x:row r="9" ht="46" customHeight="1">
      <x:c r="A9" s="26" t="n">
        <x:v>3</x:v>
      </x:c>
      <x:c r="B9" s="26" t="str">
        <x:v>Đọc và tự tóm tắt</x:v>
      </x:c>
      <x:c r="C9" s="26" t="str">
        <x:v>Không nhất quán</x:v>
      </x:c>
      <x:c r="D9" s="26" t="str">
        <x:v>Nhân viên</x:v>
      </x:c>
      <x:c r="F9" s="26" t="n">
        <x:v>3</x:v>
      </x:c>
      <x:c r="G9" s="26" t="str">
        <x:v>Xem nguồn + ngày cập nhật</x:v>
      </x:c>
      <x:c r="H9" s="26" t="str">
        <x:v>Bắt buộc mở tối thiểu 1 nguồn</x:v>
      </x:c>
      <x:c r="I9" s="26" t="str">
        <x:v>Nhân viên vận hành (R)</x:v>
      </x:c>
    </x:row>
    <x:row r="10" ht="46" customHeight="1">
      <x:c r="A10" s="26" t="n">
        <x:v>4</x:v>
      </x:c>
      <x:c r="B10" s="26" t="str">
        <x:v>Dùng kết quả</x:v>
      </x:c>
      <x:c r="C10" s="26" t="str">
        <x:v>Thiếu dấu vết kiểm chứng</x:v>
      </x:c>
      <x:c r="D10" s="26" t="str">
        <x:v>Không rõ</x:v>
      </x:c>
      <x:c r="F10" s="26" t="n">
        <x:v>4</x:v>
      </x:c>
      <x:c r="G10" s="26" t="str">
        <x:v>Kiểm chứng nội dung</x:v>
      </x:c>
      <x:c r="H10" s="26" t="str">
        <x:v>Ngoại lệ/rủi ro cao chuyển SME</x:v>
      </x:c>
      <x:c r="I10" s="26" t="str">
        <x:v>SME / quản lý (A)</x:v>
      </x:c>
    </x:row>
    <x:row r="11" ht="46" customHeight="1">
      <x:c r="F11" s="26" t="n">
        <x:v>5</x:v>
      </x:c>
      <x:c r="G11" s="26" t="str">
        <x:v>Dùng hoặc không dùng</x:v>
      </x:c>
      <x:c r="H11" s="26" t="str">
        <x:v>Con người giữ quyền quyết định cuối</x:v>
      </x:c>
      <x:c r="I11" s="26" t="str">
        <x:v>Chủ quy trình (A) — Trần Thị Kiều Oanh</x:v>
      </x:c>
    </x:row>
    <x:row r="12" ht="46" customHeight="1">
      <x:c r="F12" s="26" t="n">
        <x:v>6</x:v>
      </x:c>
      <x:c r="G12" s="26" t="str">
        <x:v>Báo lỗi và học lại</x:v>
      </x:c>
      <x:c r="H12" s="26" t="str">
        <x:v>Ticket có loại lỗi, nguồn, mức độ</x:v>
      </x:c>
      <x:c r="I12" s="26" t="str">
        <x:v>AI Product Owner (R) — Giang Minh Phú</x:v>
      </x:c>
    </x:row>
    <x:row r="14">
      <x:c r="A14" s="11" t="str">
        <x:v>PHÂN CHIA NGƯỜI – AI (MOLLICK)</x:v>
      </x:c>
      <x:c r="B14" s="11"/>
      <x:c r="C14" s="11"/>
      <x:c r="D14" s="11"/>
      <x:c r="E14" s="11"/>
      <x:c r="F14" s="11"/>
      <x:c r="G14" s="11"/>
      <x:c r="H14" s="11"/>
      <x:c r="I14" s="11"/>
    </x:row>
    <x:row r="15">
      <x:c r="A15" s="56" t="str">
        <x:v>Vùng</x:v>
      </x:c>
      <x:c r="B15" s="57" t="str">
        <x:v>Nhiệm vụ</x:v>
      </x:c>
      <x:c r="C15" s="57" t="str">
        <x:v>Điều kiện</x:v>
      </x:c>
      <x:c r="D15" s="57" t="str">
        <x:v>Quyền quyết định</x:v>
      </x:c>
      <x:c r="E15" s="57" t="str">
        <x:v>Kiểm chứng</x:v>
      </x:c>
      <x:c r="F15" s="57" t="str">
        <x:v>Khi AI không chắc</x:v>
      </x:c>
      <x:c r="G15" s="57" t="str">
        <x:v>Owner</x:v>
      </x:c>
      <x:c r="H15" s="57" t="str">
        <x:v>Log</x:v>
      </x:c>
      <x:c r="I15" s="58" t="str">
        <x:v>Rủi ro</x:v>
      </x:c>
    </x:row>
    <x:row r="16" ht="55" customHeight="1">
      <x:c r="A16" s="24" t="str">
        <x:v>Người giữ quyền</x:v>
      </x:c>
      <x:c r="B16" s="24" t="str">
        <x:v>Phê duyệt cuối, ngoại lệ, rủi ro</x:v>
      </x:c>
      <x:c r="C16" s="24" t="str">
        <x:v>Luôn luôn</x:v>
      </x:c>
      <x:c r="D16" s="24" t="str">
        <x:v>Con người</x:v>
      </x:c>
      <x:c r="E16" s="24" t="str">
        <x:v>SME / quản lý</x:v>
      </x:c>
      <x:c r="F16" s="24" t="str">
        <x:v>Không sử dụng kết quả; chuyển SME</x:v>
      </x:c>
      <x:c r="G16" s="24" t="str">
        <x:v>Chủ quy trình (Trần Thị Kiều Oanh)</x:v>
      </x:c>
      <x:c r="H16" s="24" t="str">
        <x:v>Quyết định + ngoại lệ</x:v>
      </x:c>
      <x:c r="I16" s="24" t="str">
        <x:v>Cao</x:v>
      </x:c>
    </x:row>
    <x:row r="17" ht="55" customHeight="1">
      <x:c r="A17" s="26" t="str">
        <x:v>AI hỗ trợ</x:v>
      </x:c>
      <x:c r="B17" s="26" t="str">
        <x:v>Tìm, tóm tắt, đề xuất nguồn</x:v>
      </x:c>
      <x:c r="C17" s="26" t="str">
        <x:v>Nguồn đã duyệt</x:v>
      </x:c>
      <x:c r="D17" s="26" t="str">
        <x:v>Con người</x:v>
      </x:c>
      <x:c r="E17" s="26" t="str">
        <x:v>Mở nguồn + đối chiếu</x:v>
      </x:c>
      <x:c r="F17" s="26" t="str">
        <x:v>Hiển thị không chắc; yêu cầu làm rõ</x:v>
      </x:c>
      <x:c r="G17" s="26" t="str">
        <x:v>AI Product Owner (Giang Minh Phú)</x:v>
      </x:c>
      <x:c r="H17" s="26" t="str">
        <x:v>Prompt + nguồn + feedback</x:v>
      </x:c>
      <x:c r="I17" s="26" t="str">
        <x:v>Vừa</x:v>
      </x:c>
    </x:row>
    <x:row r="18" ht="55" customHeight="1">
      <x:c r="A18" s="26" t="str">
        <x:v>AI tự động có kiểm soát</x:v>
      </x:c>
      <x:c r="B18" s="26" t="str">
        <x:v>Gắn nhãn ticket phản hồi</x:v>
      </x:c>
      <x:c r="C18" s="26" t="str">
        <x:v>Tác vụ lặp lại, rủi ro thấp</x:v>
      </x:c>
      <x:c r="D18" s="26" t="str">
        <x:v>Quy tắc đã duyệt</x:v>
      </x:c>
      <x:c r="E18" s="26" t="str">
        <x:v>QA mẫu 10%</x:v>
      </x:c>
      <x:c r="F18" s="26" t="str">
        <x:v>Chuyển hàng đợi thủ công</x:v>
      </x:c>
      <x:c r="G18" s="26" t="str">
        <x:v>QA Lead (Lê Thị Thuý)</x:v>
      </x:c>
      <x:c r="H18" s="26" t="str">
        <x:v>Ticket log</x:v>
      </x:c>
      <x:c r="I18" s="26" t="str">
        <x:v>Thấp</x:v>
      </x:c>
    </x:row>
  </x:sheetData>
  <x:mergeCells>
    <x:mergeCell ref="A1:I2"/>
    <x:mergeCell ref="A3:I3"/>
    <x:mergeCell ref="A5:D5"/>
    <x:mergeCell ref="F5:I5"/>
    <x:mergeCell ref="A14:I1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36" hidden="0" customWidth="1"/>
    <x:col min="4" max="4" width="20" hidden="0" customWidth="1"/>
    <x:col min="5" max="5" width="34" hidden="0" customWidth="1"/>
    <x:col min="6" max="6" width="36" hidden="0" customWidth="1"/>
    <x:col min="7" max="7" width="34" hidden="0" customWidth="1"/>
    <x:col min="8" max="8" width="18" hidden="0" customWidth="1"/>
  </x:cols>
  <x:sheetData>
    <x:row r="1" ht="28" customHeight="1">
      <x:c r="A1" s="4" t="str">
        <x:v>LỘ TRÌNH 30–60–90 NGÀY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Mỗi giai đoạn là một cổng quyết định dựa trên bằng chứng, không tự động chuyển khi hết ngày.</x:v>
      </x:c>
      <x:c r="B3" s="8"/>
      <x:c r="C3" s="8"/>
      <x:c r="D3" s="8"/>
      <x:c r="E3" s="8"/>
      <x:c r="F3" s="8"/>
      <x:c r="G3" s="8"/>
      <x:c r="H3" s="8"/>
    </x:row>
    <x:row r="5">
      <x:c r="A5" s="56" t="str">
        <x:v>Giai đoạn</x:v>
      </x:c>
      <x:c r="B5" s="57" t="str">
        <x:v>Mục tiêu cổng</x:v>
      </x:c>
      <x:c r="C5" s="57" t="str">
        <x:v>Hành động chính</x:v>
      </x:c>
      <x:c r="D5" s="57" t="str">
        <x:v>Owner</x:v>
      </x:c>
      <x:c r="E5" s="57" t="str">
        <x:v>Bằng chứng hoàn thành</x:v>
      </x:c>
      <x:c r="F5" s="57" t="str">
        <x:v>Tiêu chí qua cổng</x:v>
      </x:c>
      <x:c r="G5" s="57" t="str">
        <x:v>Nếu không đạt</x:v>
      </x:c>
      <x:c r="H5" s="58" t="str">
        <x:v>Trạng thái</x:v>
      </x:c>
    </x:row>
    <x:row r="6" ht="100" customHeight="1">
      <x:c r="A6" s="24" t="str">
        <x:v>0–30 ngày</x:v>
      </x:c>
      <x:c r="B6" s="24" t="str">
        <x:v>Chứng minh vấn đề và khả năng đo</x:v>
      </x:c>
      <x:c r="C6" s="24" t="str">
        <x:v>Khoá 4 workflow; lập danh mục nguồn; chỉ định data owner; đo baseline tuần 1; pilot 20–30 người.</x:v>
      </x:c>
      <x:c r="D6" s="24" t="str">
        <x:v>AI Product Owner (Giang Minh Phú)</x:v>
      </x:c>
      <x:c r="E6" s="24" t="str">
        <x:v>AS-IS/TO-BE; data dictionary; baseline có log; danh sách nguồn + ACL</x:v>
      </x:c>
      <x:c r="F6" s="24" t="str">
        <x:v>100% nguồn pilot có owner; thu được ≥80% trường dữ liệu metric; không có nguồn ngoài ACL</x:v>
      </x:c>
      <x:c r="G6" s="24" t="str">
        <x:v>Thu hẹp nguồn/workflow; sửa instrument; chưa qua ngày 31</x:v>
      </x:c>
      <x:c r="H6" s="62" t="str">
        <x:v>CHƯA BẮT ĐẦU</x:v>
      </x:c>
    </x:row>
    <x:row r="7" ht="100" customHeight="1">
      <x:c r="A7" s="26" t="str">
        <x:v>31–60 ngày</x:v>
      </x:c>
      <x:c r="B7" s="26" t="str">
        <x:v>Chứng minh chất lượng và hành vi</x:v>
      </x:c>
      <x:c r="C7" s="26" t="str">
        <x:v>Bật trích nguồn + ngày; QA mẫu 10%; checklist kiểm chứng; office hour; review lỗi hằng tuần.</x:v>
      </x:c>
      <x:c r="D7" s="26" t="str">
        <x:v>QA Lead (Lê Thị Thuý)</x:v>
      </x:c>
      <x:c r="E7" s="26" t="str">
        <x:v>Báo cáo QA; log trích nguồn; log làm lại; feedback ticket</x:v>
      </x:c>
      <x:c r="F7" s="26" t="str">
        <x:v>Nguồn kiểm chứng ≥95%; rework ≤10%; ≥70% tác vụ phù hợp dùng workflow mới; 0 vi phạm ACL</x:v>
      </x:c>
      <x:c r="G7" s="26" t="str">
        <x:v>Sửa retrieval, nguồn, handoff hoặc hướng dẫn; giữ pilot</x:v>
      </x:c>
      <x:c r="H7" s="63" t="str">
        <x:v>CHỜ GATE 30</x:v>
      </x:c>
    </x:row>
    <x:row r="8" ht="100" customHeight="1">
      <x:c r="A8" s="26" t="str">
        <x:v>61–90 ngày</x:v>
      </x:c>
      <x:c r="B8" s="26" t="str">
        <x:v>Quyết định mở rộng / sửa / dừng</x:v>
      </x:c>
      <x:c r="C8" s="26" t="str">
        <x:v>Đối chiếu mục tiêu; kiểm governance; xác nhận owner vận hành; đánh giá lợi ích theo workflow.</x:v>
      </x:c>
      <x:c r="D8" s="26" t="str">
        <x:v>Chủ quy trình (Trần Thị Kiều Oanh)</x:v>
      </x:c>
      <x:c r="E8" s="26" t="str">
        <x:v>Biên bản gate; dashboard đủ dữ liệu; quyết định ký bởi sponsor</x:v>
      </x:c>
      <x:c r="F8" s="26" t="str">
        <x:v>Tất cả metric bắt buộc đạt; thời gian trung vị ≤8 phút; 0 sự cố truy cập nghiêm trọng</x:v>
      </x:c>
      <x:c r="G8" s="26" t="str">
        <x:v>SỬA thêm một vòng hoặc DỪNG theo quy tắc</x:v>
      </x:c>
      <x:c r="H8" s="63" t="str">
        <x:v>CHỜ GATE 60</x:v>
      </x:c>
    </x:row>
  </x:sheetData>
  <x:mergeCells>
    <x:mergeCell ref="A1:H2"/>
    <x:mergeCell ref="A3:H3"/>
  </x:mergeCells>
  <x:dataValidations count="1">
    <x:dataValidation type="list" sqref="H6:H8">
      <x:formula1>"CHƯA BẮT ĐẦU,ĐANG LÀM,ĐẠT,KHÔNG ĐẠT,CHỜ GATE 30,CHỜ GATE 60"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9" hidden="0" customWidth="1"/>
    <x:col min="4" max="4" width="16" hidden="0" customWidth="1"/>
    <x:col min="5" max="5" width="10" hidden="0" customWidth="1"/>
    <x:col min="6" max="6" width="13" hidden="0" customWidth="1"/>
    <x:col min="7" max="7" width="16" hidden="0" customWidth="1"/>
    <x:col min="8" max="8" width="29" hidden="0" customWidth="1"/>
    <x:col min="9" max="9" width="15" hidden="0" customWidth="1"/>
    <x:col min="10" max="10" width="42" hidden="0" customWidth="1"/>
  </x:cols>
  <x:sheetData>
    <x:row r="1" ht="28" customHeight="1">
      <x:c r="A1" s="4" t="str">
        <x:v>METRICS — TỪ SỬ DỤNG ĐẾN GIÁ TRỊ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15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34" customHeight="1">
      <x:c r="A3" s="8" t="str">
        <x:v>Nhập kết quả mới nhất ở cột G (màu vàng). Cột I tự đánh giá theo chiều mục tiêu và dẫn tới hành động cụ thể.</x:v>
      </x:c>
      <x:c r="B3" s="8"/>
      <x:c r="C3" s="8"/>
      <x:c r="D3" s="8"/>
      <x:c r="E3" s="8"/>
      <x:c r="F3" s="8"/>
      <x:c r="G3" s="8"/>
      <x:c r="H3" s="8"/>
      <x:c r="I3" s="8"/>
      <x:c r="J3" s="8"/>
    </x:row>
    <x:row r="5">
      <x:c r="A5" s="56" t="str">
        <x:v>Tầng</x:v>
      </x:c>
      <x:c r="B5" s="57" t="str">
        <x:v>Cấp metric</x:v>
      </x:c>
      <x:c r="C5" s="57" t="str">
        <x:v>Chỉ số</x:v>
      </x:c>
      <x:c r="D5" s="57" t="str">
        <x:v>Baseline</x:v>
      </x:c>
      <x:c r="E5" s="57" t="str">
        <x:v>Chiều</x:v>
      </x:c>
      <x:c r="F5" s="57" t="str">
        <x:v>Mục tiêu</x:v>
      </x:c>
      <x:c r="G5" s="57" t="str">
        <x:v>Kết quả mới nhất</x:v>
      </x:c>
      <x:c r="H5" s="57" t="str">
        <x:v>Nguồn dữ liệu</x:v>
      </x:c>
      <x:c r="I5" s="57" t="str">
        <x:v>Trạng thái</x:v>
      </x:c>
      <x:c r="J5" s="58" t="str">
        <x:v>Owner / khi chỉ số xấu</x:v>
      </x:c>
    </x:row>
    <x:row r="6" ht="66" customHeight="1">
      <x:c r="A6" s="24" t="n">
        <x:v>1</x:v>
      </x:c>
      <x:c r="B6" s="24" t="str">
        <x:v>Product</x:v>
      </x:c>
      <x:c r="C6" s="24" t="str">
        <x:v>Tỷ lệ tác vụ phù hợp dùng workflow AI</x:v>
      </x:c>
      <x:c r="D6" s="24" t="str">
        <x:v>Chưa đo — kế hoạch: tuần 1 pilot</x:v>
      </x:c>
      <x:c r="E6" s="24" t="str">
        <x:v>&gt;=</x:v>
      </x:c>
      <x:c r="F6" s="70" t="n">
        <x:v>0.7</x:v>
      </x:c>
      <x:c r="G6" s="68"/>
      <x:c r="H6" s="24" t="str">
        <x:v>Log tác vụ + danh mục workflow</x:v>
      </x:c>
      <x:c r="I6" s="24" t="str">
        <x:f>IF(G6="","CHƯA ĐO",IF(E6="&gt;=",IF(G6&gt;=F6,"ĐẠT","XẤU"),IF(G6&lt;=F6,"ĐẠT","XẤU")))</x:f>
        <x:v>CHƯA ĐO</x:v>
      </x:c>
      <x:c r="J6" s="24" t="str">
        <x:v>AI Product Owner (Giang Minh Phú) — phỏng vấn nhanh, tìm friction theo bước; sửa prompt/UI/handoff.</x:v>
      </x:c>
    </x:row>
    <x:row r="7" ht="66" customHeight="1">
      <x:c r="A7" s="26" t="n">
        <x:v>2</x:v>
      </x:c>
      <x:c r="B7" s="26" t="str">
        <x:v>Workflow</x:v>
      </x:c>
      <x:c r="C7" s="26" t="str">
        <x:v>Tỷ lệ mở nguồn trước khi sử dụng kết quả</x:v>
      </x:c>
      <x:c r="D7" s="26" t="str">
        <x:v>Chưa đo — kế hoạch: tuần 1 pilot</x:v>
      </x:c>
      <x:c r="E7" s="26" t="str">
        <x:v>&gt;=</x:v>
      </x:c>
      <x:c r="F7" s="71" t="n">
        <x:v>0.9</x:v>
      </x:c>
      <x:c r="G7" s="69"/>
      <x:c r="H7" s="26" t="str">
        <x:v>Click log nguồn + task log</x:v>
      </x:c>
      <x:c r="I7" s="26" t="str">
        <x:f>IF(G7="","CHƯA ĐO",IF(E7="&gt;=",IF(G7&gt;=F7,"ĐẠT","XẤU"),IF(G7&lt;=F7,"ĐẠT","XẤU")))</x:f>
        <x:v>CHƯA ĐO</x:v>
      </x:c>
      <x:c r="J7" s="26" t="str">
        <x:v>Trưởng nhóm vận hành (Trần Thị Kiều Oanh) — coaching tại bước kiểm chứng; chặn hoàn tất nếu chưa mở nguồn.</x:v>
      </x:c>
    </x:row>
    <x:row r="8" ht="66" customHeight="1">
      <x:c r="A8" s="26" t="n">
        <x:v>3</x:v>
      </x:c>
      <x:c r="B8" s="26" t="str">
        <x:v>Workflow</x:v>
      </x:c>
      <x:c r="C8" s="26" t="str">
        <x:v>Thời gian trung vị hoàn thành tra cứu (phút)</x:v>
      </x:c>
      <x:c r="D8" s="26" t="str">
        <x:v>Chưa đo — kế hoạch: tuần 1 pilot</x:v>
      </x:c>
      <x:c r="E8" s="26" t="str">
        <x:v>&lt;=</x:v>
      </x:c>
      <x:c r="F8" s="26" t="n">
        <x:v>8</x:v>
      </x:c>
      <x:c r="G8" s="69"/>
      <x:c r="H8" s="26" t="str">
        <x:v>Timestamp task start/end</x:v>
      </x:c>
      <x:c r="I8" s="26" t="str">
        <x:f>IF(G8="","CHƯA ĐO",IF(E8="&gt;=",IF(G8&gt;=F8,"ĐẠT","XẤU"),IF(G8&lt;=F8,"ĐẠT","XẤU")))</x:f>
        <x:v>CHƯA ĐO</x:v>
      </x:c>
      <x:c r="J8" s="26" t="str">
        <x:v>Chủ quy trình (Trần Thị Kiều Oanh) — xem lại bước thừa, retrieval và handoff.</x:v>
      </x:c>
    </x:row>
    <x:row r="9" ht="66" customHeight="1">
      <x:c r="A9" s="26" t="n">
        <x:v>4</x:v>
      </x:c>
      <x:c r="B9" s="26" t="str">
        <x:v>Product</x:v>
      </x:c>
      <x:c r="C9" s="26" t="str">
        <x:v>Tỷ lệ câu trả lời có nguồn và ngày cập nhật</x:v>
      </x:c>
      <x:c r="D9" s="26" t="str">
        <x:v>Chưa đo — kế hoạch: QA mẫu tuần 1</x:v>
      </x:c>
      <x:c r="E9" s="26" t="str">
        <x:v>&gt;=</x:v>
      </x:c>
      <x:c r="F9" s="71" t="n">
        <x:v>0.95</x:v>
      </x:c>
      <x:c r="G9" s="69"/>
      <x:c r="H9" s="26" t="str">
        <x:v>Log câu trả lời + QA mẫu 10%</x:v>
      </x:c>
      <x:c r="I9" s="26" t="str">
        <x:f>IF(G9="","CHƯA ĐO",IF(E9="&gt;=",IF(G9&gt;=F9,"ĐẠT","XẤU"),IF(G9&lt;=F9,"ĐẠT","XẤU")))</x:f>
        <x:v>CHƯA ĐO</x:v>
      </x:c>
      <x:c r="J9" s="26" t="str">
        <x:v>AI Product Owner (Giang Minh Phú) — tắt nguồn lỗi; sửa retrieval và bắt buộc citation.</x:v>
      </x:c>
    </x:row>
    <x:row r="10" ht="66" customHeight="1">
      <x:c r="A10" s="26" t="n">
        <x:v>4</x:v>
      </x:c>
      <x:c r="B10" s="26" t="str">
        <x:v>Workflow</x:v>
      </x:c>
      <x:c r="C10" s="26" t="str">
        <x:v>Tỷ lệ hoàn thành không cần QA làm lại</x:v>
      </x:c>
      <x:c r="D10" s="26" t="str">
        <x:v>Chưa đo — kế hoạch: QA mẫu tuần 1</x:v>
      </x:c>
      <x:c r="E10" s="26" t="str">
        <x:v>&gt;=</x:v>
      </x:c>
      <x:c r="F10" s="71" t="n">
        <x:v>0.9</x:v>
      </x:c>
      <x:c r="G10" s="69"/>
      <x:c r="H10" s="26" t="str">
        <x:v>QA checklist + ticket rework</x:v>
      </x:c>
      <x:c r="I10" s="26" t="str">
        <x:f>IF(G10="","CHƯA ĐO",IF(E10="&gt;=",IF(G10&gt;=F10,"ĐẠT","XẤU"),IF(G10&lt;=F10,"ĐẠT","XẤU")))</x:f>
        <x:v>CHƯA ĐO</x:v>
      </x:c>
      <x:c r="J10" s="26" t="str">
        <x:v>QA Lead (Lê Thị Thuý) — tăng QA mẫu; phân loại lỗi; sửa checklist / nguồn.</x:v>
      </x:c>
    </x:row>
    <x:row r="11" ht="66" customHeight="1">
      <x:c r="A11" s="26" t="n">
        <x:v>5</x:v>
      </x:c>
      <x:c r="B11" s="26" t="str">
        <x:v>Risk</x:v>
      </x:c>
      <x:c r="C11" s="26" t="str">
        <x:v>Số sự cố truy cập tài liệu ngoài quyền</x:v>
      </x:c>
      <x:c r="D11" s="26" t="str">
        <x:v>Chưa đo — kế hoạch: audit log tuần 1</x:v>
      </x:c>
      <x:c r="E11" s="26" t="str">
        <x:v>&lt;=</x:v>
      </x:c>
      <x:c r="F11" s="26" t="n">
        <x:v>0</x:v>
      </x:c>
      <x:c r="G11" s="69"/>
      <x:c r="H11" s="26" t="str">
        <x:v>Security/ACL audit log</x:v>
      </x:c>
      <x:c r="I11" s="26" t="str">
        <x:f>IF(G11="","CHƯA ĐO",IF(E11="&gt;=",IF(G11&gt;=F11,"ĐẠT","XẤU"),IF(G11&lt;=F11,"ĐẠT","XẤU")))</x:f>
        <x:v>CHƯA ĐO</x:v>
      </x:c>
      <x:c r="J11" s="26" t="str">
        <x:v>Security Owner (Lê Thị Thuý) — dừng pilot liên quan, cô lập nguồn, điều tra và sửa ACL.</x:v>
      </x:c>
    </x:row>
    <x:row r="13">
      <x:c r="A13" s="11" t="str">
        <x:v>QUY TẮC DỮ LIỆU</x:v>
      </x:c>
      <x:c r="B13" s="11"/>
      <x:c r="C13" s="11"/>
      <x:c r="D13" s="11"/>
      <x:c r="E13" s="11"/>
      <x:c r="F13" s="11"/>
      <x:c r="G13" s="11"/>
      <x:c r="H13" s="11"/>
      <x:c r="I13" s="11"/>
      <x:c r="J13" s="11"/>
    </x:row>
    <x:row r="14">
      <x:c r="A14" s="72" t="str">
        <x:v>Định nghĩa mẫu</x:v>
      </x:c>
      <x:c r="B14" s="24" t="str">
        <x:v>Pilot 20–30 nhân viên vận hành; đo theo từng workflow, không gộp câu hỏi ngoài phạm vi.</x:v>
      </x:c>
      <x:c r="C14" s="24"/>
      <x:c r="D14" s="24"/>
      <x:c r="E14" s="24"/>
      <x:c r="F14" s="24"/>
      <x:c r="G14" s="24"/>
      <x:c r="H14" s="24"/>
      <x:c r="I14" s="24"/>
      <x:c r="J14" s="24"/>
    </x:row>
    <x:row r="15">
      <x:c r="A15" s="73" t="str">
        <x:v>Chu kỳ cập nhật</x:v>
      </x:c>
      <x:c r="B15" s="26" t="str">
        <x:v>Hằng tuần trong pilot; QA lấy mẫu ngẫu nhiên tối thiểu 10% tác vụ.</x:v>
      </x:c>
      <x:c r="C15" s="26"/>
      <x:c r="D15" s="26"/>
      <x:c r="E15" s="26"/>
      <x:c r="F15" s="26"/>
      <x:c r="G15" s="26"/>
      <x:c r="H15" s="26"/>
      <x:c r="I15" s="26"/>
      <x:c r="J15" s="26"/>
    </x:row>
    <x:row r="16">
      <x:c r="A16" s="73" t="str">
        <x:v>Data owner</x:v>
      </x:c>
      <x:c r="B16" s="26" t="str">
        <x:v>AI Product Owner (Giang Minh Phú) chịu dữ liệu product; Chủ quy trình (Trần Thị Kiều Oanh) chịu metric workflow; QA Lead và Security Owner (Lê Thị Thuý) chịu metric chất lượng và rủi ro.</x:v>
      </x:c>
      <x:c r="C16" s="26"/>
      <x:c r="D16" s="26"/>
      <x:c r="E16" s="26"/>
      <x:c r="F16" s="26"/>
      <x:c r="G16" s="26"/>
      <x:c r="H16" s="26"/>
      <x:c r="I16" s="26"/>
      <x:c r="J16" s="26"/>
    </x:row>
    <x:row r="17">
      <x:c r="A17" s="73" t="str">
        <x:v>Tình trạng dữ liệu</x:v>
      </x:c>
      <x:c r="B17" s="26" t="str">
        <x:v>Tại thời điểm nộp chưa có kết quả pilot thật. Cột Baseline và Kết quả để trống có chủ ý — không điền số giả; trạng thái tự tính là CHƯA ĐO cho cả 6 chỉ số.</x:v>
      </x:c>
      <x:c r="C17" s="26"/>
      <x:c r="D17" s="26"/>
      <x:c r="E17" s="26"/>
      <x:c r="F17" s="26"/>
      <x:c r="G17" s="26"/>
      <x:c r="H17" s="26"/>
      <x:c r="I17" s="26"/>
      <x:c r="J17" s="26"/>
    </x:row>
  </x:sheetData>
  <x:mergeCells>
    <x:mergeCell ref="A1:J2"/>
    <x:mergeCell ref="A3:J3"/>
    <x:mergeCell ref="A13:J13"/>
    <x:mergeCell ref="B14:J14"/>
    <x:mergeCell ref="B15:J15"/>
    <x:mergeCell ref="B16:J16"/>
    <x:mergeCell ref="B17:J17"/>
  </x:mergeCells>
  <x:conditionalFormatting sqref="I6:I11">
    <x:cfRule type="containsText" dxfId="0" priority="1" operator="containsText" text="ĐẠT"/>
    <x:cfRule type="containsText" dxfId="1" priority="2" operator="containsText" text="XẤU"/>
    <x:cfRule type="containsText" dxfId="2" priority="3" operator="containsText" text="CHƯA ĐO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32" hidden="0" customWidth="1"/>
    <x:col min="4" max="4" width="30" hidden="0" customWidth="1"/>
    <x:col min="5" max="5" width="38" hidden="0" customWidth="1"/>
    <x:col min="6" max="6" width="24" hidden="0" customWidth="1"/>
    <x:col min="7" max="7" width="20" hidden="0" customWidth="1"/>
    <x:col min="8" max="8" width="16" hidden="0" customWidth="1"/>
  </x:cols>
  <x:sheetData>
    <x:row r="1" ht="28" customHeight="1">
      <x:c r="A1" s="4" t="str">
        <x:v>KIỂM TRA CHÉO &amp; THAY ĐỔI V2</x:v>
      </x:c>
      <x:c r="B1" s="4"/>
      <x:c r="C1" s="4"/>
      <x:c r="D1" s="4"/>
      <x:c r="E1" s="4"/>
      <x:c r="F1" s="4"/>
      <x:c r="G1" s="4"/>
      <x:c r="H1" s="4"/>
    </x:row>
    <x:row r="2" ht="15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Ghi nhận góp ý cụ thể và dấu vết chỉnh sửa để chứng minh v2 khác v1.</x:v>
      </x:c>
      <x:c r="B3" s="8"/>
      <x:c r="C3" s="8"/>
      <x:c r="D3" s="8"/>
      <x:c r="E3" s="8"/>
      <x:c r="F3" s="8"/>
      <x:c r="G3" s="8"/>
      <x:c r="H3" s="8"/>
    </x:row>
    <x:row r="5">
      <x:c r="A5" s="56" t="str">
        <x:v>#</x:v>
      </x:c>
      <x:c r="B5" s="57" t="str">
        <x:v>Trục phản biện</x:v>
      </x:c>
      <x:c r="C5" s="57" t="str">
        <x:v>Góp ý nhóm bạn</x:v>
      </x:c>
      <x:c r="D5" s="57" t="str">
        <x:v>Vấn đề ở v1</x:v>
      </x:c>
      <x:c r="E5" s="57" t="str">
        <x:v>Thay đổi trong v2</x:v>
      </x:c>
      <x:c r="F5" s="57" t="str">
        <x:v>Sheet / vị trí</x:v>
      </x:c>
      <x:c r="G5" s="57" t="str">
        <x:v>Owner</x:v>
      </x:c>
      <x:c r="H5" s="58" t="str">
        <x:v>Trạng thái</x:v>
      </x:c>
    </x:row>
    <x:row r="6" ht="82" customHeight="1">
      <x:c r="A6" s="24" t="n">
        <x:v>1</x:v>
      </x:c>
      <x:c r="B6" s="24" t="str">
        <x:v>Chỉ số</x:v>
      </x:c>
      <x:c r="C6" s="24" t="str">
        <x:v>Số login và số câu hỏi chỉ là activity, chưa chứng minh giá trị.</x:v>
      </x:c>
      <x:c r="D6" s="24" t="str">
        <x:v>Metric thiên về usage; thiếu workflow quality.</x:v>
      </x:c>
      <x:c r="E6" s="24" t="str">
        <x:v>Thêm tỷ lệ mở nguồn, thời gian từ log, tỷ lệ không cần QA làm lại và sự cố ACL.</x:v>
      </x:c>
      <x:c r="F6" s="24" t="str">
        <x:v>Metrics!A5:J11</x:v>
      </x:c>
      <x:c r="G6" s="24" t="str">
        <x:v>AI Product Owner (Giang Minh Phú)</x:v>
      </x:c>
      <x:c r="H6" s="24" t="str">
        <x:v>ĐÃ SỬA</x:v>
      </x:c>
    </x:row>
    <x:row r="7" ht="82" customHeight="1">
      <x:c r="A7" s="26" t="n">
        <x:v>2</x:v>
      </x:c>
      <x:c r="B7" s="26" t="str">
        <x:v>Hành động</x:v>
      </x:c>
      <x:c r="C7" s="26" t="str">
        <x:v>Chưa rõ ai chịu trách nhiệm và xử lý khi AI không chắc.</x:v>
      </x:c>
      <x:c r="D7" s="26" t="str">
        <x:v>TO-BE chỉ có bước hỏi AI; chưa có handoff/RACI.</x:v>
      </x:c>
      <x:c r="E7" s="26" t="str">
        <x:v>Thêm người phê duyệt cuối, SME escalation, ticket phản hồi và owner từng bước.</x:v>
      </x:c>
      <x:c r="F7" s="26" t="str">
        <x:v>Workflow!F6:I18</x:v>
      </x:c>
      <x:c r="G7" s="26" t="str">
        <x:v>Chủ quy trình (Trần Thị Kiều Oanh)</x:v>
      </x:c>
      <x:c r="H7" s="26" t="str">
        <x:v>ĐÃ SỬA</x:v>
      </x:c>
    </x:row>
    <x:row r="8" ht="82" customHeight="1">
      <x:c r="A8" s="26" t="n">
        <x:v>3</x:v>
      </x:c>
      <x:c r="B8" s="26" t="str">
        <x:v>Roadmap</x:v>
      </x:c>
      <x:c r="C8" s="26" t="str">
        <x:v>30–60–90 là danh sách việc, chưa có gate.</x:v>
      </x:c>
      <x:c r="D8" s="26" t="str">
        <x:v>Không có tiêu chí qua giai đoạn.</x:v>
      </x:c>
      <x:c r="E8" s="26" t="str">
        <x:v>Thêm bằng chứng, tiêu chí qua cổng và hành động nếu không đạt cho từng giai đoạn.</x:v>
      </x:c>
      <x:c r="F8" s="26" t="str">
        <x:v>Roadmap 30-60-90!A5:H8</x:v>
      </x:c>
      <x:c r="G8" s="26" t="str">
        <x:v>Sponsor</x:v>
      </x:c>
      <x:c r="H8" s="26" t="str">
        <x:v>ĐÃ SỬA</x:v>
      </x:c>
    </x:row>
    <x:row r="10">
      <x:c r="A10" s="11" t="str">
        <x:v>QUYẾT ĐỊNH CUỐI</x:v>
      </x:c>
      <x:c r="B10" s="11"/>
      <x:c r="C10" s="11"/>
      <x:c r="D10" s="11"/>
      <x:c r="E10" s="11"/>
      <x:c r="F10" s="11"/>
      <x:c r="G10" s="11"/>
      <x:c r="H10" s="11"/>
    </x:row>
    <x:row r="11" ht="42" customHeight="1">
      <x:c r="A11" s="74" t="str">
        <x:v>Quyết định</x:v>
      </x:c>
      <x:c r="B11" s="24" t="str">
        <x:v>SỬA — tiếp tục pilot có điều kiện, chưa rollout rộng</x:v>
      </x:c>
      <x:c r="C11" s="24"/>
      <x:c r="D11" s="24"/>
      <x:c r="E11" s="24"/>
      <x:c r="F11" s="24"/>
      <x:c r="G11" s="24"/>
      <x:c r="H11" s="24"/>
    </x:row>
    <x:row r="12" ht="42" customHeight="1">
      <x:c r="A12" s="75" t="str">
        <x:v>Lý do</x:v>
      </x:c>
      <x:c r="B12" s="26" t="str">
        <x:v>Hai nguyên nhân gốc là workflow chưa chính thức và thiếu kiến trúc tin cậy; cả hai có thể sửa trong pilot và đo được.</x:v>
      </x:c>
      <x:c r="C12" s="26"/>
      <x:c r="D12" s="26"/>
      <x:c r="E12" s="26"/>
      <x:c r="F12" s="26"/>
      <x:c r="G12" s="26"/>
      <x:c r="H12" s="26"/>
    </x:row>
    <x:row r="13" ht="42" customHeight="1">
      <x:c r="A13" s="75" t="str">
        <x:v>Bước tiếp theo</x:v>
      </x:c>
      <x:c r="B13" s="26" t="str">
        <x:v>Trong 30 ngày: khoá nguồn, ACL, owner; đo baseline; triển khai TO-BE cho 20–30 người vận hành.</x:v>
      </x:c>
      <x:c r="C13" s="26"/>
      <x:c r="D13" s="26"/>
      <x:c r="E13" s="26"/>
      <x:c r="F13" s="26"/>
      <x:c r="G13" s="26"/>
      <x:c r="H13" s="26"/>
    </x:row>
  </x:sheetData>
  <x:mergeCells>
    <x:mergeCell ref="A1:H2"/>
    <x:mergeCell ref="A3:H3"/>
    <x:mergeCell ref="A10:H10"/>
    <x:mergeCell ref="B11:H11"/>
    <x:mergeCell ref="B12:H12"/>
    <x:mergeCell ref="B13:H13"/>
  </x:mergeCells>
  <x:pageMargins left="0.7" right="0.7" top="0.75" bottom="0.75" header="0.3" footer="0.3"/>
</x:worksheet>
</file>